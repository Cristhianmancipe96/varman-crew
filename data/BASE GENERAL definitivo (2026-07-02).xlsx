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d19cca5881295e/Documentos/"/>
    </mc:Choice>
  </mc:AlternateContent>
  <xr:revisionPtr revIDLastSave="95" documentId="8_{907E5645-B411-4AE8-9B56-6A2867A22253}" xr6:coauthVersionLast="47" xr6:coauthVersionMax="47" xr10:uidLastSave="{7FE07D5D-4CA4-4AE5-9781-CE4702222A6B}"/>
  <bookViews>
    <workbookView xWindow="-108" yWindow="-108" windowWidth="23256" windowHeight="12456" activeTab="1" xr2:uid="{2DE996BD-4879-4B59-AD59-958EFDF386DE}"/>
  </bookViews>
  <sheets>
    <sheet name="ENTRADAS" sheetId="1" r:id="rId1"/>
    <sheet name="INVENTARIO" sheetId="2" r:id="rId2"/>
    <sheet name="VENTAS" sheetId="3" r:id="rId3"/>
  </sheets>
  <externalReferences>
    <externalReference r:id="rId4"/>
  </externalReferences>
  <definedNames>
    <definedName name="_xlnm._FilterDatabase" localSheetId="1" hidden="1">INVENTARIO!$A$1:$G$76</definedName>
    <definedName name="_xlnm._FilterDatabase" localSheetId="2" hidden="1">VENTAS!$A$1:$E$59</definedName>
    <definedName name="BASE">'[1]BASE VENTAS'!$A:$E</definedName>
    <definedName name="ENTRADAS">ENTRADAS!$B:$F</definedName>
    <definedName name="VARM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H81" i="1"/>
  <c r="G80" i="1"/>
  <c r="H80" i="1"/>
  <c r="G79" i="1"/>
  <c r="H79" i="1"/>
  <c r="G78" i="1"/>
  <c r="H78" i="1"/>
  <c r="G77" i="1"/>
  <c r="H77" i="1"/>
  <c r="G76" i="1"/>
  <c r="H76" i="1"/>
  <c r="G75" i="1"/>
  <c r="H75" i="1"/>
  <c r="G74" i="1"/>
  <c r="H74" i="1"/>
  <c r="F81" i="2"/>
  <c r="D81" i="2"/>
  <c r="C81" i="2"/>
  <c r="E81" i="2" s="1"/>
  <c r="G81" i="2" s="1"/>
  <c r="B81" i="2"/>
  <c r="F80" i="2"/>
  <c r="D80" i="2"/>
  <c r="C80" i="2"/>
  <c r="E80" i="2" s="1"/>
  <c r="G80" i="2" s="1"/>
  <c r="B80" i="2"/>
  <c r="F79" i="2"/>
  <c r="D79" i="2"/>
  <c r="C79" i="2"/>
  <c r="E79" i="2" s="1"/>
  <c r="G79" i="2" s="1"/>
  <c r="B79" i="2"/>
  <c r="F78" i="2"/>
  <c r="D78" i="2"/>
  <c r="C78" i="2"/>
  <c r="E78" i="2" s="1"/>
  <c r="G78" i="2" s="1"/>
  <c r="B78" i="2"/>
  <c r="F77" i="2"/>
  <c r="D77" i="2"/>
  <c r="C77" i="2"/>
  <c r="E77" i="2" s="1"/>
  <c r="G77" i="2" s="1"/>
  <c r="B77" i="2"/>
  <c r="F76" i="2"/>
  <c r="D76" i="2"/>
  <c r="C76" i="2"/>
  <c r="E76" i="2" s="1"/>
  <c r="G76" i="2" s="1"/>
  <c r="B76" i="2"/>
  <c r="F75" i="2"/>
  <c r="D75" i="2"/>
  <c r="C75" i="2"/>
  <c r="E75" i="2" s="1"/>
  <c r="G75" i="2" s="1"/>
  <c r="B75" i="2"/>
  <c r="F74" i="2"/>
  <c r="D74" i="2"/>
  <c r="C74" i="2"/>
  <c r="E74" i="2" s="1"/>
  <c r="G74" i="2" s="1"/>
  <c r="B74" i="2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E78" i="3"/>
  <c r="E77" i="3"/>
  <c r="E76" i="3"/>
  <c r="E75" i="3"/>
  <c r="E74" i="3"/>
  <c r="E73" i="3"/>
  <c r="E72" i="3"/>
  <c r="E71" i="3"/>
  <c r="E70" i="3"/>
  <c r="E69" i="3"/>
  <c r="E68" i="3"/>
  <c r="E66" i="3"/>
  <c r="E65" i="3"/>
  <c r="E64" i="3"/>
  <c r="E63" i="3"/>
  <c r="E62" i="3"/>
  <c r="E61" i="3"/>
  <c r="E6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F73" i="2"/>
  <c r="D73" i="2"/>
  <c r="C73" i="2"/>
  <c r="B73" i="2"/>
  <c r="F72" i="2"/>
  <c r="D72" i="2"/>
  <c r="C72" i="2"/>
  <c r="B72" i="2"/>
  <c r="E59" i="3"/>
  <c r="D59" i="3"/>
  <c r="E58" i="3"/>
  <c r="D58" i="3"/>
  <c r="E57" i="3"/>
  <c r="D57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D35" i="3"/>
  <c r="E34" i="3"/>
  <c r="D34" i="3"/>
  <c r="E33" i="3"/>
  <c r="D33" i="3"/>
  <c r="D32" i="3"/>
  <c r="E31" i="3"/>
  <c r="D31" i="3"/>
  <c r="E30" i="3"/>
  <c r="D30" i="3"/>
  <c r="E29" i="3"/>
  <c r="D29" i="3"/>
  <c r="E28" i="3"/>
  <c r="D28" i="3"/>
  <c r="E27" i="3"/>
  <c r="D27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D18" i="3"/>
  <c r="E17" i="3"/>
  <c r="D17" i="3"/>
  <c r="E16" i="3"/>
  <c r="D16" i="3"/>
  <c r="D15" i="3"/>
  <c r="E14" i="3"/>
  <c r="D14" i="3"/>
  <c r="D13" i="3"/>
  <c r="E12" i="3"/>
  <c r="D12" i="3"/>
  <c r="E11" i="3"/>
  <c r="D11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7" i="1"/>
  <c r="H35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2" i="3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53" i="1"/>
  <c r="F24" i="1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E55" i="1"/>
  <c r="E53" i="1"/>
  <c r="E38" i="1"/>
  <c r="D4" i="2"/>
  <c r="C4" i="2"/>
  <c r="D3" i="2"/>
  <c r="D2" i="2"/>
  <c r="C3" i="2"/>
  <c r="C2" i="2"/>
  <c r="B2" i="2"/>
  <c r="G2" i="1"/>
  <c r="E32" i="2" l="1"/>
  <c r="G32" i="2" s="1"/>
  <c r="E72" i="2"/>
  <c r="G72" i="2" s="1"/>
  <c r="E73" i="2"/>
  <c r="G73" i="2" s="1"/>
  <c r="E31" i="2"/>
  <c r="G31" i="2" s="1"/>
  <c r="E71" i="2"/>
  <c r="G71" i="2" s="1"/>
  <c r="E70" i="2"/>
  <c r="G70" i="2" s="1"/>
  <c r="E69" i="2"/>
  <c r="G69" i="2" s="1"/>
  <c r="E68" i="2"/>
  <c r="G68" i="2" s="1"/>
  <c r="E67" i="2"/>
  <c r="G67" i="2" s="1"/>
  <c r="E66" i="2"/>
  <c r="G66" i="2" s="1"/>
  <c r="E65" i="2"/>
  <c r="G65" i="2" s="1"/>
  <c r="E64" i="2"/>
  <c r="G64" i="2" s="1"/>
  <c r="E63" i="2"/>
  <c r="G63" i="2" s="1"/>
  <c r="E62" i="2"/>
  <c r="G62" i="2" s="1"/>
  <c r="E61" i="2"/>
  <c r="G61" i="2" s="1"/>
  <c r="E60" i="2"/>
  <c r="G60" i="2" s="1"/>
  <c r="E59" i="2"/>
  <c r="G59" i="2" s="1"/>
  <c r="E58" i="2"/>
  <c r="G58" i="2" s="1"/>
  <c r="E57" i="2"/>
  <c r="G57" i="2" s="1"/>
  <c r="E56" i="2"/>
  <c r="G56" i="2" s="1"/>
  <c r="E55" i="2"/>
  <c r="G55" i="2" s="1"/>
  <c r="E54" i="2"/>
  <c r="G54" i="2" s="1"/>
  <c r="E53" i="2"/>
  <c r="G53" i="2" s="1"/>
  <c r="E52" i="2"/>
  <c r="G52" i="2" s="1"/>
  <c r="E51" i="2"/>
  <c r="G51" i="2" s="1"/>
  <c r="E50" i="2"/>
  <c r="G50" i="2" s="1"/>
  <c r="E49" i="2"/>
  <c r="G49" i="2" s="1"/>
  <c r="E48" i="2"/>
  <c r="G48" i="2" s="1"/>
  <c r="E47" i="2"/>
  <c r="G47" i="2" s="1"/>
  <c r="E46" i="2"/>
  <c r="G46" i="2" s="1"/>
  <c r="E45" i="2"/>
  <c r="G45" i="2" s="1"/>
  <c r="E44" i="2"/>
  <c r="G44" i="2" s="1"/>
  <c r="E43" i="2"/>
  <c r="G43" i="2" s="1"/>
  <c r="E42" i="2"/>
  <c r="G42" i="2" s="1"/>
  <c r="E41" i="2"/>
  <c r="G41" i="2" s="1"/>
  <c r="E39" i="2"/>
  <c r="G39" i="2" s="1"/>
  <c r="E38" i="2"/>
  <c r="G38" i="2" s="1"/>
  <c r="E37" i="2"/>
  <c r="G37" i="2" s="1"/>
  <c r="E36" i="2"/>
  <c r="G36" i="2" s="1"/>
  <c r="E35" i="2"/>
  <c r="G35" i="2" s="1"/>
  <c r="E34" i="2"/>
  <c r="G34" i="2" s="1"/>
  <c r="E33" i="2"/>
  <c r="G33" i="2" s="1"/>
  <c r="E30" i="2"/>
  <c r="G30" i="2" s="1"/>
  <c r="E29" i="2"/>
  <c r="G29" i="2" s="1"/>
  <c r="E28" i="2"/>
  <c r="G28" i="2" s="1"/>
  <c r="E27" i="2"/>
  <c r="G27" i="2" s="1"/>
  <c r="E26" i="2"/>
  <c r="G26" i="2" s="1"/>
  <c r="E25" i="2"/>
  <c r="G25" i="2" s="1"/>
  <c r="E24" i="2"/>
  <c r="G24" i="2" s="1"/>
  <c r="E23" i="2"/>
  <c r="G23" i="2" s="1"/>
  <c r="E22" i="2"/>
  <c r="G22" i="2" s="1"/>
  <c r="E21" i="2"/>
  <c r="G21" i="2" s="1"/>
  <c r="E20" i="2"/>
  <c r="G20" i="2" s="1"/>
  <c r="E19" i="2"/>
  <c r="G19" i="2" s="1"/>
  <c r="E40" i="2"/>
  <c r="G40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6" i="2"/>
  <c r="G6" i="2" s="1"/>
  <c r="E8" i="2"/>
  <c r="G8" i="2" s="1"/>
  <c r="E7" i="2"/>
  <c r="G7" i="2" s="1"/>
  <c r="E5" i="2"/>
  <c r="G5" i="2" s="1"/>
  <c r="E4" i="2"/>
  <c r="G4" i="2" s="1"/>
  <c r="E3" i="2"/>
  <c r="G3" i="2" s="1"/>
  <c r="E2" i="2"/>
  <c r="G2" i="2" l="1"/>
  <c r="J2" i="2" s="1"/>
  <c r="J3" i="2"/>
</calcChain>
</file>

<file path=xl/sharedStrings.xml><?xml version="1.0" encoding="utf-8"?>
<sst xmlns="http://schemas.openxmlformats.org/spreadsheetml/2006/main" count="748" uniqueCount="174">
  <si>
    <t>FECHA</t>
  </si>
  <si>
    <t>DESCRIPCIÓN</t>
  </si>
  <si>
    <t>CANTIDAD</t>
  </si>
  <si>
    <t>VLR COMPRA</t>
  </si>
  <si>
    <t>CÓDIGO</t>
  </si>
  <si>
    <t>VRM001</t>
  </si>
  <si>
    <t>BODEGA</t>
  </si>
  <si>
    <t>VARMAN</t>
  </si>
  <si>
    <t>INV INICIAL</t>
  </si>
  <si>
    <t>VENTAS</t>
  </si>
  <si>
    <t>VRM002</t>
  </si>
  <si>
    <t>VRM003</t>
  </si>
  <si>
    <t>NIKE CORTEZ SAN VALENTIN</t>
  </si>
  <si>
    <t>VRM004</t>
  </si>
  <si>
    <t>JORDAN 4 FULL NEGRA</t>
  </si>
  <si>
    <t>ADIDAS LED AZUL NEGRO</t>
  </si>
  <si>
    <t>NEW BALANCE 530 BLANCO AZUL</t>
  </si>
  <si>
    <t>ADIDAS NAS TASE BLANCO AZUL</t>
  </si>
  <si>
    <t xml:space="preserve">ADIDAS PUREBOOST NEGRO BLANCO </t>
  </si>
  <si>
    <t>NEW BALANCE 530 BLANCO PLATEADO</t>
  </si>
  <si>
    <t>NIKE SB BLANCO MORADO</t>
  </si>
  <si>
    <t>NEW BALANCE 1000 VERDE</t>
  </si>
  <si>
    <t>NEW BALANCE 9060 NEGRO BLANCO</t>
  </si>
  <si>
    <t>ADIDAS SAMBA PLATAFORMA BLANCO VERDE</t>
  </si>
  <si>
    <t>JORDAN CADENCE BLANCO ROJO</t>
  </si>
  <si>
    <t>NIKE AF1 LOW BLANCO</t>
  </si>
  <si>
    <t xml:space="preserve">CONVERSE PLATAFORMA NEGRA </t>
  </si>
  <si>
    <t>CONVERSE LOW BLANCA</t>
  </si>
  <si>
    <t>ADIDAS GAZELLE BEIGE VERDE</t>
  </si>
  <si>
    <t>NEW BALANCE ELITE BLANCO VERDE</t>
  </si>
  <si>
    <t>DIESEL NEGRO BLANCO</t>
  </si>
  <si>
    <t>NEW BALANCE 327 AZUL</t>
  </si>
  <si>
    <t>PUMA PALERMO ROSADA</t>
  </si>
  <si>
    <t>NIKE CORTEZ CAFÉ</t>
  </si>
  <si>
    <t>NIKE CORTEZ VINOTINTO</t>
  </si>
  <si>
    <t>NIKE AIRMAX 90 LUCHADOR</t>
  </si>
  <si>
    <t>NIKE  CORTEZ VERDE ROSADO</t>
  </si>
  <si>
    <t>NIKE FREE BEIGE</t>
  </si>
  <si>
    <t>ASICS  SKY VERDE NARANJA</t>
  </si>
  <si>
    <t>ADIDAS ADISTAR NEGRO BLANCO</t>
  </si>
  <si>
    <t>ASICS SKY BLANCO</t>
  </si>
  <si>
    <t>ADIDAS SUPER STAR BLESSD</t>
  </si>
  <si>
    <t>ADIDAS SUPER STAR ADICOLOR</t>
  </si>
  <si>
    <t>ADIDAS SPEZIAL VERDE ROSADO</t>
  </si>
  <si>
    <t>ADIDAS ZX AZUL BLANCO</t>
  </si>
  <si>
    <t>SKECHERS DLITES BLANCO</t>
  </si>
  <si>
    <t>ADIDAS SPEZIAL VINOTINTO</t>
  </si>
  <si>
    <t>ADIDAS SAMBA CLASICA NEGRO</t>
  </si>
  <si>
    <t>NIKE SB VERDE OLIVA</t>
  </si>
  <si>
    <t>SKECHERS DLITES NEGRA</t>
  </si>
  <si>
    <t>ADIDAS BOUNCE GRIS</t>
  </si>
  <si>
    <t>ADIDAS ADIZERO SL CAFÉ AZUL</t>
  </si>
  <si>
    <t>NIKE AF1 HIGTH BLANCA</t>
  </si>
  <si>
    <t>JORDAN RETRO 4 NEGRO AMARILLO</t>
  </si>
  <si>
    <t xml:space="preserve">JORDAN 4 FROZEN </t>
  </si>
  <si>
    <t>NEW BALANCE 9060 BEIGE</t>
  </si>
  <si>
    <t>NEW BALANCE 990 CAFÉ</t>
  </si>
  <si>
    <t>NEW BALANCE 990 GRIS NEGRO</t>
  </si>
  <si>
    <t>NEW BALANCE 990 GRIS</t>
  </si>
  <si>
    <t>NIKE SKATE NEGRO BLANCO</t>
  </si>
  <si>
    <t>NEW BALANCE 9060 FULL NEGRO</t>
  </si>
  <si>
    <t>NIKE AIRMAX 90 FULL ROJO</t>
  </si>
  <si>
    <t>NIKE AIRMAX 90 SAN VALENTIN</t>
  </si>
  <si>
    <t>SKECHERS ONE BLANCO</t>
  </si>
  <si>
    <t>NIKE FREE NEGRO BLANCO</t>
  </si>
  <si>
    <t>JORDAN 1 SPACEJAM</t>
  </si>
  <si>
    <t>NIKE VOMERO 5 BLANCO PLATEADO</t>
  </si>
  <si>
    <t>NIKE VOMERO 5 BEIGE</t>
  </si>
  <si>
    <t>NEW BALANCE 9060 CAFÉ</t>
  </si>
  <si>
    <t>NEW BALANCE 574 GRIS</t>
  </si>
  <si>
    <t>JORDAN 1 NEGRO DORADO</t>
  </si>
  <si>
    <t>NEW BALANCE 9060 GRIS</t>
  </si>
  <si>
    <t>ADIDAS TERREX NEGRA</t>
  </si>
  <si>
    <t>ADIDAS TERREX VERDE NARANJA</t>
  </si>
  <si>
    <t>FILA RAY BEIGE MORADO</t>
  </si>
  <si>
    <t>NEW BALANCE 1000 ROSADO</t>
  </si>
  <si>
    <t>NIKE TN FULL NEGRO</t>
  </si>
  <si>
    <t>JORDAN CADENCE GRIS AMARILLO</t>
  </si>
  <si>
    <t>JORDAN CADENCE GRIS ROJO</t>
  </si>
  <si>
    <t>LOUIS VUITTON G5 GRIS</t>
  </si>
  <si>
    <t>LOUIS VUITTON G5 NEGRA</t>
  </si>
  <si>
    <t>NEW BALANCE MIU MIU</t>
  </si>
  <si>
    <t>ADIDAS SAMBA BLANCA CLASICA</t>
  </si>
  <si>
    <t>VRM005</t>
  </si>
  <si>
    <t>VRM006</t>
  </si>
  <si>
    <t>VRM007</t>
  </si>
  <si>
    <t>VRM008</t>
  </si>
  <si>
    <t>VRM009</t>
  </si>
  <si>
    <t>VRM010</t>
  </si>
  <si>
    <t>VRM011</t>
  </si>
  <si>
    <t>VRM012</t>
  </si>
  <si>
    <t>VRM013</t>
  </si>
  <si>
    <t>VRM014</t>
  </si>
  <si>
    <t>VRM015</t>
  </si>
  <si>
    <t>VRM016</t>
  </si>
  <si>
    <t>VRM017</t>
  </si>
  <si>
    <t>VRM018</t>
  </si>
  <si>
    <t>VRM019</t>
  </si>
  <si>
    <t>VRM020</t>
  </si>
  <si>
    <t>VRM021</t>
  </si>
  <si>
    <t>VRM022</t>
  </si>
  <si>
    <t>VRM023</t>
  </si>
  <si>
    <t>VRM024</t>
  </si>
  <si>
    <t>VRM025</t>
  </si>
  <si>
    <t>VRM026</t>
  </si>
  <si>
    <t>VRM027</t>
  </si>
  <si>
    <t>VRM028</t>
  </si>
  <si>
    <t>VRM029</t>
  </si>
  <si>
    <t>VRM030</t>
  </si>
  <si>
    <t>VRM031</t>
  </si>
  <si>
    <t>VRM032</t>
  </si>
  <si>
    <t>VRM033</t>
  </si>
  <si>
    <t>VRM034</t>
  </si>
  <si>
    <t>VRM035</t>
  </si>
  <si>
    <t>VRM036</t>
  </si>
  <si>
    <t>VRM037</t>
  </si>
  <si>
    <t>VRM038</t>
  </si>
  <si>
    <t>VRM039</t>
  </si>
  <si>
    <t>VRM040</t>
  </si>
  <si>
    <t>VRM041</t>
  </si>
  <si>
    <t>VRM042</t>
  </si>
  <si>
    <t>VRM043</t>
  </si>
  <si>
    <t>VRM044</t>
  </si>
  <si>
    <t>VRM045</t>
  </si>
  <si>
    <t>VRM046</t>
  </si>
  <si>
    <t>VRM047</t>
  </si>
  <si>
    <t>VRM048</t>
  </si>
  <si>
    <t>VRM049</t>
  </si>
  <si>
    <t>VRM050</t>
  </si>
  <si>
    <t>VRM051</t>
  </si>
  <si>
    <t>VRM052</t>
  </si>
  <si>
    <t>VRM053</t>
  </si>
  <si>
    <t>VRM054</t>
  </si>
  <si>
    <t>VRM055</t>
  </si>
  <si>
    <t>VRM056</t>
  </si>
  <si>
    <t>VRM057</t>
  </si>
  <si>
    <t>VRM058</t>
  </si>
  <si>
    <t>VRM059</t>
  </si>
  <si>
    <t>VRM060</t>
  </si>
  <si>
    <t>VRM061</t>
  </si>
  <si>
    <t>VRM062</t>
  </si>
  <si>
    <t>VRM063</t>
  </si>
  <si>
    <t>VRM064</t>
  </si>
  <si>
    <t>VRM065</t>
  </si>
  <si>
    <t>VRM066</t>
  </si>
  <si>
    <t>VRM067</t>
  </si>
  <si>
    <t>VRM068</t>
  </si>
  <si>
    <t>VRM069</t>
  </si>
  <si>
    <t>VRM070</t>
  </si>
  <si>
    <t>VRM071</t>
  </si>
  <si>
    <t>VRM072</t>
  </si>
  <si>
    <t>ADIDAS EQT BEIGE VERDE NARANJA</t>
  </si>
  <si>
    <t>ADIDAS EQT CAFÉ AZUL</t>
  </si>
  <si>
    <t>VLR BODEGA</t>
  </si>
  <si>
    <t>VLR TOTAL COMPRA</t>
  </si>
  <si>
    <t>VLR VENTA</t>
  </si>
  <si>
    <t>VRM073</t>
  </si>
  <si>
    <t>VRM074</t>
  </si>
  <si>
    <t>VRM075</t>
  </si>
  <si>
    <t>VLR TOTAL EN BODEGA</t>
  </si>
  <si>
    <t>UND EN BODEGA</t>
  </si>
  <si>
    <t>ADIDAS SUPERMAGMA GRIS</t>
  </si>
  <si>
    <t>ADIDAS SUEPRMAGMA AZUL</t>
  </si>
  <si>
    <t>VRM076</t>
  </si>
  <si>
    <t>VRM077</t>
  </si>
  <si>
    <t>VRM078</t>
  </si>
  <si>
    <t>VRM079</t>
  </si>
  <si>
    <t>VRM080</t>
  </si>
  <si>
    <t>ADIDAS SUPERMAGMA NEGRO NARANJA</t>
  </si>
  <si>
    <t>REEBOK CLASSIC CAFÉ</t>
  </si>
  <si>
    <t>REEBOK CLASSIC AZUL</t>
  </si>
  <si>
    <t>REEBOK CLASSIC GRIS</t>
  </si>
  <si>
    <t>JORDAN 3 LEVI´S BEIGE</t>
  </si>
  <si>
    <t>ADIDAS BOUNCE AZUL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</si>
</sst>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8d19cca5881295e/Documentos/BASE%20VENTAS%20CODIFICADAS.xlsx" TargetMode="External"/><Relationship Id="rId1" Type="http://schemas.openxmlformats.org/officeDocument/2006/relationships/externalLinkPath" Target="BASE%20VENTAS%20CODIFICA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VENTAS"/>
    </sheetNames>
    <sheetDataSet>
      <sheetData sheetId="0">
        <row r="1">
          <cell r="A1" t="str">
            <v>FECHA</v>
          </cell>
          <cell r="B1" t="str">
            <v>CANTIDAD</v>
          </cell>
          <cell r="C1" t="str">
            <v>CÓDIGO</v>
          </cell>
          <cell r="D1" t="str">
            <v>DESCRIPCIÓN</v>
          </cell>
          <cell r="E1" t="str">
            <v>COMPRA</v>
          </cell>
        </row>
        <row r="2">
          <cell r="A2">
            <v>46171</v>
          </cell>
          <cell r="B2">
            <v>1</v>
          </cell>
          <cell r="C2" t="str">
            <v>VRM070</v>
          </cell>
          <cell r="D2" t="str">
            <v>SKECHERS ONE BLANCO</v>
          </cell>
          <cell r="E2">
            <v>100000</v>
          </cell>
        </row>
        <row r="3">
          <cell r="A3">
            <v>46171</v>
          </cell>
          <cell r="B3">
            <v>1</v>
          </cell>
          <cell r="C3" t="str">
            <v>VRM080</v>
          </cell>
          <cell r="D3" t="str">
            <v>ADIDAS BOUNCE AZUL BLANCO</v>
          </cell>
          <cell r="E3">
            <v>100000</v>
          </cell>
        </row>
        <row r="4">
          <cell r="A4">
            <v>46171</v>
          </cell>
          <cell r="B4">
            <v>1</v>
          </cell>
          <cell r="C4" t="str">
            <v>VRM072</v>
          </cell>
          <cell r="D4" t="str">
            <v>ADIDAS EQT CAFÉ AZUL</v>
          </cell>
          <cell r="E4">
            <v>110000</v>
          </cell>
        </row>
        <row r="5">
          <cell r="A5">
            <v>46172</v>
          </cell>
          <cell r="B5">
            <v>1</v>
          </cell>
          <cell r="C5" t="str">
            <v>VRM007</v>
          </cell>
          <cell r="D5" t="str">
            <v xml:space="preserve">ADIDAS PUREBOOST NEGRO BLANCO </v>
          </cell>
          <cell r="E5">
            <v>110000</v>
          </cell>
        </row>
        <row r="6">
          <cell r="A6">
            <v>46172</v>
          </cell>
          <cell r="B6">
            <v>1</v>
          </cell>
          <cell r="C6" t="str">
            <v>VRM032</v>
          </cell>
          <cell r="D6" t="str">
            <v>LOUIS VUITTON G5 GRIS</v>
          </cell>
          <cell r="E6">
            <v>200000</v>
          </cell>
        </row>
        <row r="7">
          <cell r="A7">
            <v>46172</v>
          </cell>
          <cell r="B7">
            <v>1</v>
          </cell>
          <cell r="C7" t="str">
            <v>VRM033</v>
          </cell>
          <cell r="D7" t="str">
            <v>LOUIS VUITTON G5 NEGRA</v>
          </cell>
          <cell r="E7">
            <v>200000</v>
          </cell>
        </row>
        <row r="8">
          <cell r="A8">
            <v>46172</v>
          </cell>
          <cell r="B8">
            <v>1</v>
          </cell>
          <cell r="C8" t="str">
            <v>VRM072</v>
          </cell>
          <cell r="D8" t="str">
            <v>ADIDAS EQT CAFÉ AZUL</v>
          </cell>
          <cell r="E8">
            <v>110000</v>
          </cell>
        </row>
        <row r="9">
          <cell r="A9">
            <v>46172</v>
          </cell>
          <cell r="B9">
            <v>1</v>
          </cell>
          <cell r="C9" t="str">
            <v>VRM080</v>
          </cell>
          <cell r="D9" t="str">
            <v>ADIDAS BOUNCE AZUL BLANCO</v>
          </cell>
          <cell r="E9">
            <v>100000</v>
          </cell>
        </row>
        <row r="10">
          <cell r="A10">
            <v>46172</v>
          </cell>
          <cell r="B10">
            <v>1</v>
          </cell>
          <cell r="C10" t="str">
            <v>VRM035</v>
          </cell>
          <cell r="D10" t="str">
            <v>NEW BALANCE 1000 VERDE</v>
          </cell>
          <cell r="E10">
            <v>100000</v>
          </cell>
        </row>
        <row r="11">
          <cell r="A11">
            <v>46172</v>
          </cell>
          <cell r="B11">
            <v>1</v>
          </cell>
          <cell r="C11" t="str">
            <v>VRM051</v>
          </cell>
          <cell r="D11" t="str">
            <v>NIKE AF1 HIGTH BLANCA</v>
          </cell>
          <cell r="E11">
            <v>100000</v>
          </cell>
        </row>
        <row r="12">
          <cell r="A12">
            <v>46173</v>
          </cell>
          <cell r="B12">
            <v>1</v>
          </cell>
          <cell r="C12" t="str">
            <v>VRM033</v>
          </cell>
          <cell r="D12" t="str">
            <v>LOUIS VUITTON G5 NEGRA</v>
          </cell>
          <cell r="E12">
            <v>200000</v>
          </cell>
        </row>
        <row r="13">
          <cell r="A13">
            <v>46173</v>
          </cell>
          <cell r="B13">
            <v>1</v>
          </cell>
          <cell r="C13" t="str">
            <v>VRM010</v>
          </cell>
          <cell r="D13" t="str">
            <v>ADIDAS SAMBA PLATAFORMA BLANCO VERDE</v>
          </cell>
          <cell r="E13">
            <v>100000</v>
          </cell>
        </row>
        <row r="14">
          <cell r="A14">
            <v>46173</v>
          </cell>
          <cell r="B14">
            <v>1</v>
          </cell>
          <cell r="C14" t="str">
            <v>VRM062</v>
          </cell>
          <cell r="D14" t="str">
            <v>NIKE SB VERDE OLIVA</v>
          </cell>
          <cell r="E14">
            <v>110000</v>
          </cell>
        </row>
        <row r="15">
          <cell r="A15">
            <v>46173</v>
          </cell>
          <cell r="B15">
            <v>1</v>
          </cell>
          <cell r="C15" t="str">
            <v>VRM007</v>
          </cell>
          <cell r="D15" t="str">
            <v xml:space="preserve">ADIDAS PUREBOOST NEGRO BLANCO </v>
          </cell>
          <cell r="E15">
            <v>110000</v>
          </cell>
        </row>
        <row r="16">
          <cell r="A16">
            <v>46174</v>
          </cell>
          <cell r="B16">
            <v>1</v>
          </cell>
          <cell r="C16" t="str">
            <v>VRM008</v>
          </cell>
          <cell r="D16" t="str">
            <v>ADIDAS SAMBA BLANCA CLASICA</v>
          </cell>
          <cell r="E16">
            <v>90000</v>
          </cell>
        </row>
        <row r="17">
          <cell r="A17">
            <v>46174</v>
          </cell>
          <cell r="B17">
            <v>1</v>
          </cell>
          <cell r="C17" t="str">
            <v>VRM032</v>
          </cell>
          <cell r="D17" t="str">
            <v>LOUIS VUITTON G5 GRIS</v>
          </cell>
          <cell r="E17">
            <v>200000</v>
          </cell>
        </row>
        <row r="18">
          <cell r="A18">
            <v>46175</v>
          </cell>
          <cell r="B18">
            <v>1</v>
          </cell>
          <cell r="C18" t="str">
            <v>VRM052</v>
          </cell>
          <cell r="D18" t="str">
            <v>NIKE AF1 LOW BLANCO</v>
          </cell>
          <cell r="E18">
            <v>90000</v>
          </cell>
        </row>
        <row r="19">
          <cell r="A19">
            <v>46176</v>
          </cell>
          <cell r="B19">
            <v>1</v>
          </cell>
          <cell r="C19" t="str">
            <v>VRM007</v>
          </cell>
          <cell r="D19" t="str">
            <v xml:space="preserve">ADIDAS PUREBOOST NEGRO BLANCO </v>
          </cell>
          <cell r="E19">
            <v>110000</v>
          </cell>
        </row>
        <row r="20">
          <cell r="A20">
            <v>46176</v>
          </cell>
          <cell r="B20">
            <v>1</v>
          </cell>
          <cell r="C20" t="str">
            <v>VRM015</v>
          </cell>
          <cell r="D20" t="str">
            <v>ADIDAS TERREX NEGRA</v>
          </cell>
          <cell r="E20">
            <v>110000</v>
          </cell>
        </row>
        <row r="21">
          <cell r="A21">
            <v>46176</v>
          </cell>
          <cell r="B21">
            <v>1</v>
          </cell>
          <cell r="C21" t="str">
            <v>VRM072</v>
          </cell>
          <cell r="D21" t="str">
            <v>ADIDAS EQT CAFÉ AZUL</v>
          </cell>
          <cell r="E21">
            <v>110000</v>
          </cell>
        </row>
        <row r="22">
          <cell r="A22">
            <v>46176</v>
          </cell>
          <cell r="B22">
            <v>1</v>
          </cell>
          <cell r="C22" t="str">
            <v>VRM069</v>
          </cell>
          <cell r="D22" t="str">
            <v>SKECHERS DLITES NEGRA</v>
          </cell>
          <cell r="E22">
            <v>110000</v>
          </cell>
        </row>
        <row r="23">
          <cell r="A23">
            <v>46176</v>
          </cell>
          <cell r="B23">
            <v>1</v>
          </cell>
          <cell r="C23" t="str">
            <v>VRM008</v>
          </cell>
          <cell r="D23" t="str">
            <v>ADIDAS SAMBA BLANCA CLASICA</v>
          </cell>
          <cell r="E23">
            <v>90000</v>
          </cell>
        </row>
        <row r="24">
          <cell r="A24">
            <v>46176</v>
          </cell>
          <cell r="B24">
            <v>1</v>
          </cell>
          <cell r="C24" t="str">
            <v>VRM012</v>
          </cell>
          <cell r="D24" t="str">
            <v>ADIDAS SPEZIAL VINOTINTO</v>
          </cell>
          <cell r="E24">
            <v>110000</v>
          </cell>
        </row>
        <row r="25">
          <cell r="A25">
            <v>46176</v>
          </cell>
          <cell r="B25">
            <v>1</v>
          </cell>
          <cell r="C25" t="str">
            <v>VRM061</v>
          </cell>
          <cell r="D25" t="str">
            <v>NIKE SB BLANCO MORADO</v>
          </cell>
          <cell r="E25">
            <v>105000</v>
          </cell>
        </row>
        <row r="26">
          <cell r="A26">
            <v>46176</v>
          </cell>
          <cell r="B26">
            <v>1</v>
          </cell>
          <cell r="C26" t="str">
            <v>VRM044</v>
          </cell>
          <cell r="D26" t="str">
            <v>NEW BALANCE 9060 NEGRO BLANCO</v>
          </cell>
          <cell r="E26">
            <v>110000</v>
          </cell>
        </row>
        <row r="27">
          <cell r="A27">
            <v>46176</v>
          </cell>
          <cell r="B27">
            <v>2</v>
          </cell>
          <cell r="C27" t="str">
            <v>VRM041</v>
          </cell>
          <cell r="D27" t="str">
            <v>NEW BALANCE 9060 CAFÉ</v>
          </cell>
          <cell r="E27">
            <v>200000</v>
          </cell>
        </row>
        <row r="28">
          <cell r="A28">
            <v>46176</v>
          </cell>
          <cell r="B28">
            <v>1</v>
          </cell>
          <cell r="C28" t="str">
            <v>VRM038</v>
          </cell>
          <cell r="D28" t="str">
            <v>NEW BALANCE 530 BLANCO PLATEADO</v>
          </cell>
          <cell r="E28">
            <v>90000</v>
          </cell>
        </row>
        <row r="29">
          <cell r="A29">
            <v>46177</v>
          </cell>
          <cell r="B29">
            <v>1</v>
          </cell>
          <cell r="C29" t="str">
            <v>VRM051</v>
          </cell>
          <cell r="D29" t="str">
            <v>NIKE AF1 HIGTH BLANCA</v>
          </cell>
          <cell r="E29">
            <v>100000</v>
          </cell>
        </row>
        <row r="30">
          <cell r="A30">
            <v>46178</v>
          </cell>
          <cell r="B30">
            <v>1</v>
          </cell>
          <cell r="C30" t="str">
            <v>VRM037</v>
          </cell>
          <cell r="D30" t="str">
            <v>NEW BALANCE 530 BLANCO AZUL</v>
          </cell>
          <cell r="E30">
            <v>100000</v>
          </cell>
        </row>
        <row r="31">
          <cell r="A31">
            <v>46178</v>
          </cell>
          <cell r="B31">
            <v>1</v>
          </cell>
          <cell r="C31" t="str">
            <v>VRM028</v>
          </cell>
          <cell r="D31" t="str">
            <v>JORDAN CADENCE BLANCO ROJO</v>
          </cell>
          <cell r="E31">
            <v>110000</v>
          </cell>
        </row>
        <row r="32">
          <cell r="A32">
            <v>46178</v>
          </cell>
          <cell r="B32">
            <v>1</v>
          </cell>
          <cell r="C32" t="str">
            <v>VRM016</v>
          </cell>
          <cell r="D32" t="str">
            <v>ADIDAS TERREX VERDE NARANJA</v>
          </cell>
          <cell r="E32">
            <v>110000</v>
          </cell>
        </row>
        <row r="33">
          <cell r="A33">
            <v>46178</v>
          </cell>
          <cell r="B33">
            <v>1</v>
          </cell>
          <cell r="C33" t="str">
            <v>VRM008</v>
          </cell>
          <cell r="D33" t="str">
            <v>ADIDAS SAMBA BLANCA CLASICA</v>
          </cell>
          <cell r="E33">
            <v>90000</v>
          </cell>
        </row>
        <row r="34">
          <cell r="A34">
            <v>46178</v>
          </cell>
          <cell r="B34">
            <v>1</v>
          </cell>
          <cell r="C34" t="str">
            <v>VRM032</v>
          </cell>
          <cell r="D34" t="str">
            <v>LOUIS VUITTON G5 GRIS</v>
          </cell>
          <cell r="E34">
            <v>200000</v>
          </cell>
        </row>
        <row r="35">
          <cell r="A35">
            <v>46178</v>
          </cell>
          <cell r="B35">
            <v>1</v>
          </cell>
          <cell r="C35" t="str">
            <v>VRM033</v>
          </cell>
          <cell r="D35" t="str">
            <v>LOUIS VUITTON G5 NEGRA</v>
          </cell>
          <cell r="E35">
            <v>200000</v>
          </cell>
        </row>
        <row r="36">
          <cell r="A36">
            <v>46179</v>
          </cell>
          <cell r="B36">
            <v>1</v>
          </cell>
          <cell r="C36" t="str">
            <v>VRM038</v>
          </cell>
          <cell r="D36" t="str">
            <v>NEW BALANCE 530 BLANCO PLATEADO</v>
          </cell>
          <cell r="E36">
            <v>100000</v>
          </cell>
        </row>
        <row r="37">
          <cell r="A37">
            <v>46179</v>
          </cell>
          <cell r="B37">
            <v>1</v>
          </cell>
          <cell r="C37" t="str">
            <v>VRM003</v>
          </cell>
          <cell r="D37" t="str">
            <v>ADIDAS BOUNCE GRIS</v>
          </cell>
          <cell r="E37">
            <v>100000</v>
          </cell>
        </row>
        <row r="38">
          <cell r="A38">
            <v>46179</v>
          </cell>
          <cell r="B38">
            <v>1</v>
          </cell>
          <cell r="C38" t="str">
            <v>VRM032</v>
          </cell>
          <cell r="D38" t="str">
            <v>LOUIS VUITTON G5 GRIS</v>
          </cell>
          <cell r="E38">
            <v>200000</v>
          </cell>
        </row>
        <row r="39">
          <cell r="A39">
            <v>46179</v>
          </cell>
          <cell r="B39">
            <v>1</v>
          </cell>
          <cell r="C39" t="str">
            <v>VRM005</v>
          </cell>
          <cell r="D39" t="str">
            <v>ADIDAS LED AZUL NEGRO</v>
          </cell>
          <cell r="E39">
            <v>110000</v>
          </cell>
        </row>
        <row r="40">
          <cell r="A40">
            <v>46179</v>
          </cell>
          <cell r="B40">
            <v>1</v>
          </cell>
          <cell r="C40" t="str">
            <v>VRM032</v>
          </cell>
          <cell r="D40" t="str">
            <v>LOUIS VUITTON G5 GRIS</v>
          </cell>
          <cell r="E40">
            <v>200000</v>
          </cell>
        </row>
        <row r="41">
          <cell r="A41">
            <v>46179</v>
          </cell>
          <cell r="B41">
            <v>1</v>
          </cell>
          <cell r="C41" t="str">
            <v>VRM053</v>
          </cell>
          <cell r="D41" t="str">
            <v>NIKE AIRMAX 90 FULL ROJO</v>
          </cell>
          <cell r="E41">
            <v>100000</v>
          </cell>
        </row>
        <row r="42">
          <cell r="A42">
            <v>46179</v>
          </cell>
          <cell r="B42">
            <v>1</v>
          </cell>
          <cell r="C42" t="str">
            <v>VRM052</v>
          </cell>
          <cell r="D42" t="str">
            <v>NIKE AF1 LOW BLANCO</v>
          </cell>
          <cell r="E42">
            <v>100000</v>
          </cell>
        </row>
        <row r="43">
          <cell r="A43">
            <v>46179</v>
          </cell>
          <cell r="B43">
            <v>1</v>
          </cell>
          <cell r="C43" t="str">
            <v>VRM052</v>
          </cell>
          <cell r="D43" t="str">
            <v>NIKE AF1 LOW BLANCO</v>
          </cell>
          <cell r="E43">
            <v>100000</v>
          </cell>
        </row>
        <row r="44">
          <cell r="A44">
            <v>46179</v>
          </cell>
          <cell r="B44">
            <v>1</v>
          </cell>
          <cell r="C44" t="str">
            <v>VRM060</v>
          </cell>
          <cell r="D44" t="str">
            <v>NIKE FREE NEGRO BLANCO</v>
          </cell>
          <cell r="E44">
            <v>80000</v>
          </cell>
        </row>
        <row r="45">
          <cell r="A45">
            <v>46179</v>
          </cell>
          <cell r="B45">
            <v>1</v>
          </cell>
          <cell r="C45" t="str">
            <v>VRM005</v>
          </cell>
          <cell r="D45" t="str">
            <v>ADIDAS LED AZUL NEGRO</v>
          </cell>
          <cell r="E45">
            <v>110000</v>
          </cell>
        </row>
        <row r="46">
          <cell r="A46">
            <v>46179</v>
          </cell>
          <cell r="B46">
            <v>1</v>
          </cell>
          <cell r="C46" t="str">
            <v>VRM037</v>
          </cell>
          <cell r="D46" t="str">
            <v>NEW BALANCE 530 BLANCO AZUL</v>
          </cell>
          <cell r="E46">
            <v>100000</v>
          </cell>
        </row>
        <row r="47">
          <cell r="A47">
            <v>46179</v>
          </cell>
          <cell r="B47">
            <v>1</v>
          </cell>
          <cell r="C47" t="str">
            <v>VRM072</v>
          </cell>
          <cell r="D47" t="str">
            <v>ADIDAS EQT CAFÉ AZUL</v>
          </cell>
          <cell r="E47">
            <v>110000</v>
          </cell>
        </row>
        <row r="48">
          <cell r="A48">
            <v>46179</v>
          </cell>
          <cell r="B48">
            <v>1</v>
          </cell>
          <cell r="C48" t="str">
            <v>VRM033</v>
          </cell>
          <cell r="D48" t="str">
            <v>LOUIS VUITTON G5 NEGRA</v>
          </cell>
          <cell r="E48">
            <v>200000</v>
          </cell>
        </row>
        <row r="49">
          <cell r="A49">
            <v>46179</v>
          </cell>
          <cell r="B49">
            <v>1</v>
          </cell>
          <cell r="C49" t="str">
            <v>VRM033</v>
          </cell>
          <cell r="D49" t="str">
            <v>LOUIS VUITTON G5 NEGRA</v>
          </cell>
          <cell r="E49">
            <v>200000</v>
          </cell>
        </row>
        <row r="50">
          <cell r="A50">
            <v>46179</v>
          </cell>
          <cell r="B50">
            <v>1</v>
          </cell>
          <cell r="C50" t="str">
            <v>VRM018</v>
          </cell>
          <cell r="D50" t="str">
            <v>ASICS  SKY VERDE NARANJA</v>
          </cell>
          <cell r="E50">
            <v>100000</v>
          </cell>
        </row>
        <row r="51">
          <cell r="A51">
            <v>46180</v>
          </cell>
          <cell r="B51">
            <v>1</v>
          </cell>
          <cell r="C51" t="str">
            <v>VRM052</v>
          </cell>
          <cell r="D51" t="str">
            <v>NIKE AF1 LOW BLANCO</v>
          </cell>
          <cell r="E51">
            <v>90000</v>
          </cell>
        </row>
        <row r="52">
          <cell r="A52">
            <v>46180</v>
          </cell>
          <cell r="B52">
            <v>1</v>
          </cell>
          <cell r="C52" t="str">
            <v>VRM052</v>
          </cell>
          <cell r="D52" t="str">
            <v>NIKE AF1 LOW BLANCO</v>
          </cell>
          <cell r="E52">
            <v>90000</v>
          </cell>
        </row>
        <row r="53">
          <cell r="A53">
            <v>46180</v>
          </cell>
          <cell r="B53">
            <v>1</v>
          </cell>
          <cell r="C53" t="str">
            <v>VRM034</v>
          </cell>
          <cell r="D53" t="str">
            <v>NEW BALANCE 1000 ROSADO</v>
          </cell>
          <cell r="E53">
            <v>100000</v>
          </cell>
        </row>
        <row r="54">
          <cell r="A54">
            <v>46180</v>
          </cell>
          <cell r="B54">
            <v>1</v>
          </cell>
          <cell r="C54" t="str">
            <v>VRM028</v>
          </cell>
          <cell r="D54" t="str">
            <v>JORDAN CADENCE BLANCO ROJO</v>
          </cell>
          <cell r="E54">
            <v>110000</v>
          </cell>
        </row>
        <row r="55">
          <cell r="A55">
            <v>46180</v>
          </cell>
          <cell r="B55">
            <v>1</v>
          </cell>
          <cell r="C55" t="str">
            <v>VRM072</v>
          </cell>
          <cell r="D55" t="str">
            <v>ADIDAS EQT CAFÉ AZUL</v>
          </cell>
          <cell r="E55">
            <v>110000</v>
          </cell>
        </row>
        <row r="56">
          <cell r="A56">
            <v>46180</v>
          </cell>
          <cell r="B56">
            <v>1</v>
          </cell>
          <cell r="C56" t="str">
            <v>VRM052</v>
          </cell>
          <cell r="D56" t="str">
            <v>NIKE AF1 LOW BLANCO</v>
          </cell>
          <cell r="E56">
            <v>90000</v>
          </cell>
        </row>
        <row r="57">
          <cell r="A57">
            <v>46182</v>
          </cell>
          <cell r="B57">
            <v>1</v>
          </cell>
          <cell r="C57" t="str">
            <v>VRM072</v>
          </cell>
          <cell r="D57" t="str">
            <v>ADIDAS EQT CAFÉ AZUL</v>
          </cell>
          <cell r="E57">
            <v>110000</v>
          </cell>
        </row>
        <row r="58">
          <cell r="A58">
            <v>46182</v>
          </cell>
          <cell r="B58">
            <v>1</v>
          </cell>
          <cell r="C58" t="str">
            <v>VRM023</v>
          </cell>
          <cell r="D58" t="str">
            <v>FILA RAY BEIGE MORADO</v>
          </cell>
          <cell r="E58">
            <v>110000</v>
          </cell>
        </row>
        <row r="59">
          <cell r="A59">
            <v>46182</v>
          </cell>
          <cell r="B59">
            <v>1</v>
          </cell>
          <cell r="C59" t="str">
            <v>VRM006</v>
          </cell>
          <cell r="D59" t="str">
            <v>ADIDAS NAS TASE BLANCO AZUL</v>
          </cell>
          <cell r="E59">
            <v>100000</v>
          </cell>
        </row>
        <row r="60">
          <cell r="A60">
            <v>46182</v>
          </cell>
          <cell r="B60">
            <v>1</v>
          </cell>
          <cell r="C60" t="str">
            <v>VRM072</v>
          </cell>
          <cell r="D60" t="str">
            <v>ADIDAS EQT CAFÉ AZUL</v>
          </cell>
          <cell r="E60">
            <v>110000</v>
          </cell>
        </row>
        <row r="61">
          <cell r="A61">
            <v>46182</v>
          </cell>
          <cell r="B61">
            <v>1</v>
          </cell>
          <cell r="C61" t="str">
            <v>VRM028</v>
          </cell>
          <cell r="D61" t="str">
            <v>JORDAN CADENCE BLANCO ROJO</v>
          </cell>
          <cell r="E61">
            <v>110000</v>
          </cell>
        </row>
        <row r="62">
          <cell r="A62">
            <v>46183</v>
          </cell>
          <cell r="B62">
            <v>3</v>
          </cell>
          <cell r="C62" t="str">
            <v>VRM015</v>
          </cell>
          <cell r="D62" t="str">
            <v>ADIDAS TERREX NEGRA</v>
          </cell>
          <cell r="E62">
            <v>330000</v>
          </cell>
        </row>
        <row r="63">
          <cell r="A63">
            <v>46183</v>
          </cell>
          <cell r="B63">
            <v>1</v>
          </cell>
          <cell r="C63" t="str">
            <v>VRM053</v>
          </cell>
          <cell r="D63" t="str">
            <v>NIKE AIRMAX 90 FULL ROJO</v>
          </cell>
          <cell r="E63">
            <v>100000</v>
          </cell>
        </row>
        <row r="64">
          <cell r="A64">
            <v>46183</v>
          </cell>
          <cell r="B64">
            <v>1</v>
          </cell>
          <cell r="C64" t="str">
            <v>VRM052</v>
          </cell>
          <cell r="D64" t="str">
            <v>NIKE AF1 LOW BLANCO</v>
          </cell>
          <cell r="E64">
            <v>90000</v>
          </cell>
        </row>
        <row r="65">
          <cell r="A65">
            <v>46183</v>
          </cell>
          <cell r="B65">
            <v>1</v>
          </cell>
          <cell r="C65" t="str">
            <v>VRM052</v>
          </cell>
          <cell r="D65" t="str">
            <v>NIKE AF1 LOW BLANCO</v>
          </cell>
          <cell r="E65">
            <v>90000</v>
          </cell>
        </row>
        <row r="66">
          <cell r="A66">
            <v>46183</v>
          </cell>
          <cell r="B66">
            <v>1</v>
          </cell>
          <cell r="C66" t="str">
            <v>VRM018</v>
          </cell>
          <cell r="D66" t="str">
            <v>ASICS  SKY VERDE NARANJA</v>
          </cell>
          <cell r="E66">
            <v>100000</v>
          </cell>
        </row>
        <row r="67">
          <cell r="A67">
            <v>46184</v>
          </cell>
          <cell r="B67">
            <v>1</v>
          </cell>
          <cell r="C67" t="str">
            <v>VRM060</v>
          </cell>
          <cell r="D67" t="str">
            <v>NIKE FREE NEGRO BLANCO</v>
          </cell>
          <cell r="E67">
            <v>80000</v>
          </cell>
        </row>
        <row r="68">
          <cell r="A68">
            <v>46185</v>
          </cell>
          <cell r="B68">
            <v>1</v>
          </cell>
          <cell r="C68" t="str">
            <v>VRM070</v>
          </cell>
          <cell r="D68" t="str">
            <v>SKECHERS ONE BLANCO</v>
          </cell>
          <cell r="E68">
            <v>100000</v>
          </cell>
        </row>
        <row r="69">
          <cell r="A69">
            <v>46186</v>
          </cell>
          <cell r="B69">
            <v>1</v>
          </cell>
          <cell r="C69" t="str">
            <v>VRM005</v>
          </cell>
          <cell r="D69" t="str">
            <v>ADIDAS LED AZUL NEGRO</v>
          </cell>
          <cell r="E69">
            <v>110000</v>
          </cell>
        </row>
        <row r="70">
          <cell r="A70">
            <v>46186</v>
          </cell>
          <cell r="B70">
            <v>1</v>
          </cell>
          <cell r="C70" t="str">
            <v>VRM007</v>
          </cell>
          <cell r="D70" t="str">
            <v xml:space="preserve">ADIDAS PUREBOOST NEGRO BLANCO </v>
          </cell>
          <cell r="E70">
            <v>110000</v>
          </cell>
        </row>
        <row r="71">
          <cell r="A71">
            <v>46186</v>
          </cell>
          <cell r="B71">
            <v>1</v>
          </cell>
          <cell r="C71" t="str">
            <v>VRM040</v>
          </cell>
          <cell r="D71" t="str">
            <v>NEW BALANCE 9060 BEIGE</v>
          </cell>
          <cell r="E71">
            <v>100000</v>
          </cell>
        </row>
        <row r="72">
          <cell r="A72">
            <v>46186</v>
          </cell>
          <cell r="B72">
            <v>1</v>
          </cell>
          <cell r="C72" t="str">
            <v>VRM015</v>
          </cell>
          <cell r="D72" t="str">
            <v>ADIDAS TERREX NEGRA</v>
          </cell>
          <cell r="E72">
            <v>110000</v>
          </cell>
        </row>
        <row r="73">
          <cell r="A73">
            <v>46186</v>
          </cell>
          <cell r="B73">
            <v>1</v>
          </cell>
          <cell r="C73" t="str">
            <v>VRM002</v>
          </cell>
          <cell r="D73" t="str">
            <v>ADIDAS ADIZERO SL CAFÉ AZUL</v>
          </cell>
          <cell r="E73">
            <v>110000</v>
          </cell>
        </row>
        <row r="74">
          <cell r="A74">
            <v>46186</v>
          </cell>
          <cell r="B74">
            <v>1</v>
          </cell>
          <cell r="C74" t="str">
            <v>VRM073</v>
          </cell>
          <cell r="D74" t="str">
            <v>ADIDAS SUPERMAGMA GRIS</v>
          </cell>
          <cell r="E74">
            <v>110000</v>
          </cell>
        </row>
        <row r="75">
          <cell r="A75">
            <v>46186</v>
          </cell>
          <cell r="B75">
            <v>1</v>
          </cell>
          <cell r="C75" t="str">
            <v>VRM001</v>
          </cell>
          <cell r="D75" t="str">
            <v>ADIDAS ADISTAR NEGRO BLANCO</v>
          </cell>
          <cell r="E75">
            <v>105000</v>
          </cell>
        </row>
        <row r="76">
          <cell r="A76">
            <v>46186</v>
          </cell>
          <cell r="B76">
            <v>1</v>
          </cell>
          <cell r="C76" t="str">
            <v>VRM068</v>
          </cell>
          <cell r="D76" t="str">
            <v>SKECHERS DLITES BLANCO</v>
          </cell>
          <cell r="E76">
            <v>105000</v>
          </cell>
        </row>
        <row r="77">
          <cell r="A77">
            <v>46186</v>
          </cell>
          <cell r="B77">
            <v>1</v>
          </cell>
          <cell r="C77" t="str">
            <v>VRM068</v>
          </cell>
          <cell r="D77" t="str">
            <v>SKECHERS DLITES BLANCO</v>
          </cell>
          <cell r="E77">
            <v>105000</v>
          </cell>
        </row>
        <row r="78">
          <cell r="A78">
            <v>46186</v>
          </cell>
          <cell r="B78">
            <v>1</v>
          </cell>
          <cell r="C78" t="str">
            <v>VRM023</v>
          </cell>
          <cell r="D78" t="str">
            <v>FILA RAY BEIGE MORADO</v>
          </cell>
          <cell r="E78">
            <v>110000</v>
          </cell>
        </row>
        <row r="79">
          <cell r="A79">
            <v>46186</v>
          </cell>
          <cell r="B79">
            <v>1</v>
          </cell>
          <cell r="C79" t="str">
            <v>VRM009</v>
          </cell>
          <cell r="D79" t="str">
            <v>ADIDAS SAMBA CLASICA NEGRO</v>
          </cell>
          <cell r="E79">
            <v>90000</v>
          </cell>
        </row>
        <row r="80">
          <cell r="A80">
            <v>46186</v>
          </cell>
          <cell r="B80">
            <v>1</v>
          </cell>
          <cell r="C80" t="str">
            <v>VRM010</v>
          </cell>
          <cell r="D80" t="str">
            <v>ADIDAS SAMBA PLATAFORMA BLANCO VERDE</v>
          </cell>
          <cell r="E80">
            <v>100000</v>
          </cell>
        </row>
        <row r="81">
          <cell r="A81">
            <v>46186</v>
          </cell>
          <cell r="B81">
            <v>1</v>
          </cell>
          <cell r="C81" t="str">
            <v>VRM008</v>
          </cell>
          <cell r="D81" t="str">
            <v>ADIDAS SAMBA BLANCA CLASICA</v>
          </cell>
          <cell r="E81">
            <v>90000</v>
          </cell>
        </row>
        <row r="82">
          <cell r="A82">
            <v>46186</v>
          </cell>
          <cell r="B82">
            <v>1</v>
          </cell>
          <cell r="C82" t="str">
            <v>VRM072</v>
          </cell>
          <cell r="D82" t="str">
            <v>ADIDAS EQT CAFÉ AZUL</v>
          </cell>
          <cell r="E82">
            <v>110000</v>
          </cell>
        </row>
        <row r="83">
          <cell r="A83">
            <v>46186</v>
          </cell>
          <cell r="B83">
            <v>1</v>
          </cell>
          <cell r="C83" t="str">
            <v>VRM015</v>
          </cell>
          <cell r="D83" t="str">
            <v>ADIDAS TERREX NEGRA</v>
          </cell>
          <cell r="E83">
            <v>110000</v>
          </cell>
        </row>
        <row r="84">
          <cell r="A84">
            <v>46186</v>
          </cell>
          <cell r="B84">
            <v>1</v>
          </cell>
          <cell r="C84" t="str">
            <v>VRM017</v>
          </cell>
          <cell r="D84" t="str">
            <v>ADIDAS ZX AZUL BLANCO</v>
          </cell>
          <cell r="E84">
            <v>100000</v>
          </cell>
        </row>
        <row r="85">
          <cell r="A85">
            <v>46187</v>
          </cell>
          <cell r="B85">
            <v>1</v>
          </cell>
          <cell r="C85" t="str">
            <v>VRM074</v>
          </cell>
          <cell r="D85" t="str">
            <v>ADIDAS SUEPRMAGMA AZUL</v>
          </cell>
          <cell r="E85">
            <v>115000</v>
          </cell>
        </row>
        <row r="86">
          <cell r="A86">
            <v>46187</v>
          </cell>
          <cell r="B86">
            <v>1</v>
          </cell>
          <cell r="C86" t="str">
            <v>VRM005</v>
          </cell>
          <cell r="D86" t="str">
            <v>ADIDAS LED AZUL NEGRO</v>
          </cell>
          <cell r="E86">
            <v>110000</v>
          </cell>
        </row>
        <row r="87">
          <cell r="A87">
            <v>46187</v>
          </cell>
          <cell r="B87">
            <v>1</v>
          </cell>
          <cell r="C87" t="str">
            <v>VRM074</v>
          </cell>
          <cell r="D87" t="str">
            <v>ADIDAS SUEPRMAGMA AZUL</v>
          </cell>
          <cell r="E87">
            <v>115000</v>
          </cell>
        </row>
        <row r="88">
          <cell r="A88">
            <v>46187</v>
          </cell>
          <cell r="B88">
            <v>1</v>
          </cell>
          <cell r="C88" t="str">
            <v>VRM056</v>
          </cell>
          <cell r="D88" t="str">
            <v>NIKE CORTEZ CAFÉ</v>
          </cell>
          <cell r="E88">
            <v>90000</v>
          </cell>
        </row>
        <row r="89">
          <cell r="A89">
            <v>46187</v>
          </cell>
          <cell r="B89">
            <v>1</v>
          </cell>
          <cell r="C89" t="str">
            <v>VRM010</v>
          </cell>
          <cell r="D89" t="str">
            <v>ADIDAS SAMBA PLATAFORMA BLANCO VERDE</v>
          </cell>
          <cell r="E89">
            <v>100000</v>
          </cell>
        </row>
        <row r="90">
          <cell r="A90">
            <v>46187</v>
          </cell>
          <cell r="B90">
            <v>1</v>
          </cell>
          <cell r="C90" t="str">
            <v>VRM073</v>
          </cell>
          <cell r="D90" t="str">
            <v>ADIDAS SUPERMAGMA GRIS</v>
          </cell>
          <cell r="E90">
            <v>115000</v>
          </cell>
        </row>
        <row r="91">
          <cell r="A91">
            <v>46188</v>
          </cell>
          <cell r="B91">
            <v>1</v>
          </cell>
          <cell r="C91" t="str">
            <v>VRM038</v>
          </cell>
          <cell r="D91" t="str">
            <v>NEW BALANCE 530 BLANCO PLATEADO</v>
          </cell>
          <cell r="E91">
            <v>100000</v>
          </cell>
        </row>
        <row r="92">
          <cell r="A92">
            <v>46188</v>
          </cell>
          <cell r="B92">
            <v>1</v>
          </cell>
          <cell r="C92" t="str">
            <v>VRM074</v>
          </cell>
          <cell r="D92" t="str">
            <v>ADIDAS SUEPRMAGMA AZUL</v>
          </cell>
          <cell r="E92">
            <v>115000</v>
          </cell>
        </row>
        <row r="93">
          <cell r="A93">
            <v>46188</v>
          </cell>
          <cell r="B93">
            <v>1</v>
          </cell>
          <cell r="C93" t="str">
            <v>VRM032</v>
          </cell>
          <cell r="D93" t="str">
            <v>LOUIS VUITTON G5 GRIS</v>
          </cell>
          <cell r="E93">
            <v>200000</v>
          </cell>
        </row>
        <row r="94">
          <cell r="A94">
            <v>46188</v>
          </cell>
          <cell r="B94">
            <v>1</v>
          </cell>
          <cell r="C94" t="str">
            <v>VRM028</v>
          </cell>
          <cell r="D94" t="str">
            <v>JORDAN CADENCE BLANCO ROJO</v>
          </cell>
          <cell r="E94">
            <v>110000</v>
          </cell>
        </row>
        <row r="95">
          <cell r="A95">
            <v>46188</v>
          </cell>
          <cell r="B95">
            <v>1</v>
          </cell>
          <cell r="C95" t="str">
            <v>VRM032</v>
          </cell>
          <cell r="D95" t="str">
            <v>LOUIS VUITTON G5 GRIS</v>
          </cell>
          <cell r="E95">
            <v>200000</v>
          </cell>
        </row>
        <row r="96">
          <cell r="A96">
            <v>46188</v>
          </cell>
          <cell r="B96">
            <v>1</v>
          </cell>
          <cell r="C96" t="str">
            <v>VRM033</v>
          </cell>
          <cell r="D96" t="str">
            <v>LOUIS VUITTON G5 NEGRA</v>
          </cell>
          <cell r="E96">
            <v>200000</v>
          </cell>
        </row>
        <row r="97">
          <cell r="A97">
            <v>46188</v>
          </cell>
          <cell r="B97">
            <v>1</v>
          </cell>
          <cell r="C97" t="str">
            <v>VRM030</v>
          </cell>
          <cell r="D97" t="str">
            <v>JORDAN CADENCE GRIS ROJO</v>
          </cell>
          <cell r="E97">
            <v>80000</v>
          </cell>
        </row>
        <row r="98">
          <cell r="A98">
            <v>46188</v>
          </cell>
          <cell r="B98">
            <v>1</v>
          </cell>
          <cell r="C98" t="str">
            <v>VRM068</v>
          </cell>
          <cell r="D98" t="str">
            <v>SKECHERS DLITES BLANCO</v>
          </cell>
          <cell r="E98">
            <v>105000</v>
          </cell>
        </row>
        <row r="99">
          <cell r="A99">
            <v>46188</v>
          </cell>
          <cell r="B99">
            <v>1</v>
          </cell>
          <cell r="C99" t="str">
            <v>VRM065</v>
          </cell>
          <cell r="D99" t="str">
            <v>NIKE VOMERO 5 BEIGE</v>
          </cell>
          <cell r="E99">
            <v>100000</v>
          </cell>
        </row>
        <row r="100">
          <cell r="A100">
            <v>46189</v>
          </cell>
          <cell r="B100">
            <v>1</v>
          </cell>
          <cell r="C100" t="str">
            <v>VRM002</v>
          </cell>
          <cell r="D100" t="str">
            <v>ADIDAS ADIZERO SL CAFÉ AZUL</v>
          </cell>
          <cell r="E100">
            <v>110000</v>
          </cell>
        </row>
        <row r="101">
          <cell r="A101">
            <v>46189</v>
          </cell>
          <cell r="B101">
            <v>1</v>
          </cell>
          <cell r="C101" t="str">
            <v>VRM070</v>
          </cell>
          <cell r="D101" t="str">
            <v>SKECHERS ONE BLANCO</v>
          </cell>
          <cell r="E101">
            <v>100000</v>
          </cell>
        </row>
        <row r="102">
          <cell r="A102">
            <v>46189</v>
          </cell>
          <cell r="B102">
            <v>1</v>
          </cell>
          <cell r="C102" t="str">
            <v>VRM075</v>
          </cell>
          <cell r="D102" t="str">
            <v>ADIDAS SUPERMAGMA NEGRO NARANJA</v>
          </cell>
          <cell r="E102">
            <v>115000</v>
          </cell>
        </row>
        <row r="103">
          <cell r="A103">
            <v>46189</v>
          </cell>
          <cell r="B103">
            <v>1</v>
          </cell>
          <cell r="C103" t="str">
            <v>VRM071</v>
          </cell>
          <cell r="D103" t="str">
            <v>ADIDAS EQT BEIGE VERDE NARANJA</v>
          </cell>
          <cell r="E103">
            <v>110000</v>
          </cell>
        </row>
        <row r="104">
          <cell r="A104">
            <v>46190</v>
          </cell>
          <cell r="B104">
            <v>1</v>
          </cell>
          <cell r="C104" t="str">
            <v>VRM005</v>
          </cell>
          <cell r="D104" t="str">
            <v>ADIDAS LED AZUL NEGRO</v>
          </cell>
          <cell r="E104">
            <v>100000</v>
          </cell>
        </row>
        <row r="105">
          <cell r="A105">
            <v>46190</v>
          </cell>
          <cell r="B105">
            <v>1</v>
          </cell>
          <cell r="C105" t="str">
            <v>VRM005</v>
          </cell>
          <cell r="D105" t="str">
            <v>ADIDAS LED AZUL NEGRO</v>
          </cell>
          <cell r="E105">
            <v>100000</v>
          </cell>
        </row>
        <row r="106">
          <cell r="A106">
            <v>46190</v>
          </cell>
          <cell r="B106">
            <v>1</v>
          </cell>
          <cell r="C106" t="str">
            <v>VRM005</v>
          </cell>
          <cell r="D106" t="str">
            <v>ADIDAS LED AZUL NEGRO</v>
          </cell>
          <cell r="E106">
            <v>100000</v>
          </cell>
        </row>
        <row r="107">
          <cell r="A107">
            <v>46190</v>
          </cell>
          <cell r="B107">
            <v>1</v>
          </cell>
          <cell r="C107" t="str">
            <v>VRM032</v>
          </cell>
          <cell r="D107" t="str">
            <v>LOUIS VUITTON G5 GRIS</v>
          </cell>
          <cell r="E107">
            <v>200000</v>
          </cell>
        </row>
        <row r="108">
          <cell r="A108">
            <v>46190</v>
          </cell>
          <cell r="B108">
            <v>1</v>
          </cell>
          <cell r="C108" t="str">
            <v>VRM033</v>
          </cell>
          <cell r="D108" t="str">
            <v>LOUIS VUITTON G5 NEGRA</v>
          </cell>
          <cell r="E108">
            <v>200000</v>
          </cell>
        </row>
        <row r="109">
          <cell r="A109">
            <v>46190</v>
          </cell>
          <cell r="B109">
            <v>1</v>
          </cell>
          <cell r="C109" t="str">
            <v>VRM068</v>
          </cell>
          <cell r="D109" t="str">
            <v>SKECHERS DLITES BLANCO</v>
          </cell>
          <cell r="E109">
            <v>100000</v>
          </cell>
        </row>
        <row r="110">
          <cell r="A110">
            <v>46191</v>
          </cell>
          <cell r="B110">
            <v>1</v>
          </cell>
          <cell r="C110" t="str">
            <v>VRM075</v>
          </cell>
          <cell r="D110" t="str">
            <v>ADIDAS SUPERMAGMA NEGRO NARANJA</v>
          </cell>
          <cell r="E110">
            <v>110000</v>
          </cell>
        </row>
        <row r="111">
          <cell r="A111">
            <v>46191</v>
          </cell>
          <cell r="B111">
            <v>1</v>
          </cell>
          <cell r="C111" t="str">
            <v>VRM071</v>
          </cell>
          <cell r="D111" t="str">
            <v>ADIDAS EQT BEIGE VERDE NARANJA</v>
          </cell>
          <cell r="E111">
            <v>110000</v>
          </cell>
        </row>
        <row r="112">
          <cell r="A112">
            <v>46191</v>
          </cell>
          <cell r="B112">
            <v>1</v>
          </cell>
          <cell r="C112" t="str">
            <v>VRM033</v>
          </cell>
          <cell r="D112" t="str">
            <v>LOUIS VUITTON G5 NEGRA</v>
          </cell>
          <cell r="E112">
            <v>200000</v>
          </cell>
        </row>
        <row r="113">
          <cell r="A113">
            <v>46191</v>
          </cell>
          <cell r="B113">
            <v>1</v>
          </cell>
          <cell r="C113" t="str">
            <v>VRM052</v>
          </cell>
          <cell r="D113" t="str">
            <v>NIKE AF1 LOW BLANCO</v>
          </cell>
          <cell r="E113">
            <v>100000</v>
          </cell>
        </row>
        <row r="114">
          <cell r="A114">
            <v>46191</v>
          </cell>
          <cell r="B114">
            <v>1</v>
          </cell>
          <cell r="C114" t="str">
            <v>VRM068</v>
          </cell>
          <cell r="D114" t="str">
            <v>SKECHERS DLITES BLANCO</v>
          </cell>
          <cell r="E114">
            <v>110000</v>
          </cell>
        </row>
        <row r="115">
          <cell r="A115">
            <v>46192</v>
          </cell>
          <cell r="B115">
            <v>1</v>
          </cell>
          <cell r="C115" t="str">
            <v>VRM070</v>
          </cell>
          <cell r="D115" t="str">
            <v>SKECHERS ONE BLANCO</v>
          </cell>
          <cell r="E115">
            <v>100000</v>
          </cell>
        </row>
        <row r="116">
          <cell r="A116">
            <v>46192</v>
          </cell>
          <cell r="B116">
            <v>1</v>
          </cell>
          <cell r="C116" t="str">
            <v>VRM019</v>
          </cell>
          <cell r="D116" t="str">
            <v>ASICS SKY BLANCO</v>
          </cell>
          <cell r="E116">
            <v>120000</v>
          </cell>
        </row>
        <row r="117">
          <cell r="A117">
            <v>46192</v>
          </cell>
          <cell r="B117">
            <v>1</v>
          </cell>
          <cell r="C117" t="str">
            <v>VRM062</v>
          </cell>
          <cell r="D117" t="str">
            <v>NIKE SB VERDE OLIVA</v>
          </cell>
          <cell r="E117">
            <v>110000</v>
          </cell>
        </row>
        <row r="118">
          <cell r="A118">
            <v>46192</v>
          </cell>
          <cell r="B118">
            <v>1</v>
          </cell>
          <cell r="C118" t="str">
            <v>VRM030</v>
          </cell>
          <cell r="D118" t="str">
            <v>JORDAN CADENCE GRIS ROJO</v>
          </cell>
          <cell r="E118">
            <v>110000</v>
          </cell>
        </row>
        <row r="119">
          <cell r="A119">
            <v>46192</v>
          </cell>
          <cell r="B119">
            <v>1</v>
          </cell>
          <cell r="C119" t="str">
            <v>VRM037</v>
          </cell>
          <cell r="D119" t="str">
            <v>NEW BALANCE 530 BLANCO AZUL</v>
          </cell>
          <cell r="E119">
            <v>100000</v>
          </cell>
        </row>
        <row r="120">
          <cell r="A120">
            <v>46192</v>
          </cell>
          <cell r="B120">
            <v>1</v>
          </cell>
          <cell r="C120" t="str">
            <v>VRM010</v>
          </cell>
          <cell r="D120" t="str">
            <v>ADIDAS SAMBA PLATAFORMA BLANCO VERDE</v>
          </cell>
          <cell r="E120">
            <v>100000</v>
          </cell>
        </row>
        <row r="121">
          <cell r="A121">
            <v>46193</v>
          </cell>
          <cell r="B121">
            <v>1</v>
          </cell>
          <cell r="C121" t="str">
            <v>VRM071</v>
          </cell>
          <cell r="D121" t="str">
            <v>ADIDAS EQT BEIGE VERDE NARANJA</v>
          </cell>
          <cell r="E121">
            <v>110000</v>
          </cell>
        </row>
        <row r="122">
          <cell r="A122">
            <v>46194</v>
          </cell>
          <cell r="B122">
            <v>1</v>
          </cell>
          <cell r="C122" t="str">
            <v>VRM075</v>
          </cell>
          <cell r="D122" t="str">
            <v>ADIDAS SUPERMAGMA NEGRO NARANJA</v>
          </cell>
          <cell r="E122">
            <v>115000</v>
          </cell>
        </row>
        <row r="123">
          <cell r="A123">
            <v>46194</v>
          </cell>
          <cell r="B123">
            <v>1</v>
          </cell>
          <cell r="C123" t="str">
            <v>VRM072</v>
          </cell>
          <cell r="D123" t="str">
            <v>ADIDAS EQT CAFÉ AZUL</v>
          </cell>
          <cell r="E123">
            <v>110000</v>
          </cell>
        </row>
        <row r="124">
          <cell r="A124">
            <v>46194</v>
          </cell>
          <cell r="B124">
            <v>1</v>
          </cell>
          <cell r="C124" t="str">
            <v>VRM019</v>
          </cell>
          <cell r="D124" t="str">
            <v>ASICS SKY BLANCO</v>
          </cell>
          <cell r="E124">
            <v>110000</v>
          </cell>
        </row>
        <row r="125">
          <cell r="A125">
            <v>46194</v>
          </cell>
          <cell r="B125">
            <v>1</v>
          </cell>
          <cell r="C125" t="str">
            <v>VRM017</v>
          </cell>
          <cell r="D125" t="str">
            <v>ADIDAS ZX AZUL BLANCO</v>
          </cell>
          <cell r="E125">
            <v>100000</v>
          </cell>
        </row>
        <row r="126">
          <cell r="A126">
            <v>46194</v>
          </cell>
          <cell r="B126">
            <v>1</v>
          </cell>
          <cell r="C126" t="str">
            <v>VRM033</v>
          </cell>
          <cell r="D126" t="str">
            <v>LOUIS VUITTON G5 NEGRA</v>
          </cell>
          <cell r="E126">
            <v>200000</v>
          </cell>
        </row>
        <row r="127">
          <cell r="A127">
            <v>46195</v>
          </cell>
          <cell r="B127">
            <v>1</v>
          </cell>
          <cell r="C127" t="str">
            <v>VRM016</v>
          </cell>
          <cell r="D127" t="str">
            <v>ADIDAS TERREX VERDE NARANJA</v>
          </cell>
          <cell r="E127">
            <v>110000</v>
          </cell>
        </row>
        <row r="128">
          <cell r="A128">
            <v>46195</v>
          </cell>
          <cell r="B128">
            <v>1</v>
          </cell>
          <cell r="C128" t="str">
            <v>VRM071</v>
          </cell>
          <cell r="D128" t="str">
            <v>ADIDAS EQT BEIGE VERDE NARANJA</v>
          </cell>
          <cell r="E128">
            <v>110000</v>
          </cell>
        </row>
        <row r="129">
          <cell r="A129">
            <v>46196</v>
          </cell>
          <cell r="B129">
            <v>1</v>
          </cell>
          <cell r="C129" t="str">
            <v>VRM079</v>
          </cell>
          <cell r="D129" t="str">
            <v>JORDAN 3 LEVI´S BEIGE</v>
          </cell>
          <cell r="E129">
            <v>120000</v>
          </cell>
        </row>
        <row r="130">
          <cell r="A130">
            <v>46196</v>
          </cell>
          <cell r="B130">
            <v>1</v>
          </cell>
          <cell r="C130" t="str">
            <v>VRM052</v>
          </cell>
          <cell r="D130" t="str">
            <v>NIKE AF1 LOW BLANCO</v>
          </cell>
          <cell r="E130">
            <v>100000</v>
          </cell>
        </row>
        <row r="131">
          <cell r="A131">
            <v>46196</v>
          </cell>
          <cell r="B131">
            <v>1</v>
          </cell>
          <cell r="C131" t="str">
            <v>VRM079</v>
          </cell>
          <cell r="D131" t="str">
            <v>JORDAN 3 LEVI´S BEIGE</v>
          </cell>
          <cell r="E131">
            <v>120000</v>
          </cell>
        </row>
        <row r="132">
          <cell r="A132">
            <v>46197</v>
          </cell>
          <cell r="B132">
            <v>1</v>
          </cell>
          <cell r="C132" t="str">
            <v>VRM023</v>
          </cell>
          <cell r="D132" t="str">
            <v>FILA RAY BEIGE MORADO</v>
          </cell>
          <cell r="E132">
            <v>110000</v>
          </cell>
        </row>
        <row r="133">
          <cell r="A133">
            <v>46197</v>
          </cell>
          <cell r="B133">
            <v>1</v>
          </cell>
          <cell r="C133" t="str">
            <v>VRM001</v>
          </cell>
          <cell r="D133" t="str">
            <v>ADIDAS ADISTAR NEGRO BLANCO</v>
          </cell>
          <cell r="E133">
            <v>110000</v>
          </cell>
        </row>
        <row r="134">
          <cell r="A134">
            <v>46197</v>
          </cell>
          <cell r="B134">
            <v>1</v>
          </cell>
          <cell r="C134" t="str">
            <v>VRM074</v>
          </cell>
          <cell r="D134" t="str">
            <v>ADIDAS SUEPRMAGMA AZUL</v>
          </cell>
          <cell r="E134">
            <v>115000</v>
          </cell>
        </row>
        <row r="135">
          <cell r="A135">
            <v>46197</v>
          </cell>
          <cell r="B135">
            <v>1</v>
          </cell>
          <cell r="C135" t="str">
            <v>VRM052</v>
          </cell>
          <cell r="D135" t="str">
            <v>NIKE AF1 LOW BLANCO</v>
          </cell>
          <cell r="E135">
            <v>100000</v>
          </cell>
        </row>
        <row r="136">
          <cell r="A136">
            <v>46197</v>
          </cell>
          <cell r="B136">
            <v>1</v>
          </cell>
          <cell r="C136" t="str">
            <v>VRM049</v>
          </cell>
          <cell r="D136" t="str">
            <v>NEW BALANCE MIU MIU</v>
          </cell>
          <cell r="E136">
            <v>100000</v>
          </cell>
        </row>
        <row r="137">
          <cell r="A137">
            <v>46198</v>
          </cell>
          <cell r="B137">
            <v>1</v>
          </cell>
          <cell r="C137" t="str">
            <v>VRM052</v>
          </cell>
          <cell r="D137" t="str">
            <v>NIKE AF1 LOW BLANCO</v>
          </cell>
          <cell r="E137">
            <v>100000</v>
          </cell>
        </row>
        <row r="138">
          <cell r="A138">
            <v>46198</v>
          </cell>
          <cell r="B138">
            <v>1</v>
          </cell>
          <cell r="C138" t="str">
            <v>VRM035</v>
          </cell>
          <cell r="D138" t="str">
            <v>NEW BALANCE 1000 VERDE</v>
          </cell>
          <cell r="E138">
            <v>100000</v>
          </cell>
        </row>
        <row r="139">
          <cell r="A139">
            <v>46199</v>
          </cell>
          <cell r="B139">
            <v>1</v>
          </cell>
          <cell r="C139" t="str">
            <v>VRM034</v>
          </cell>
          <cell r="D139" t="str">
            <v>NEW BALANCE 1000 ROSADO</v>
          </cell>
          <cell r="E139">
            <v>105000</v>
          </cell>
        </row>
        <row r="140">
          <cell r="A140">
            <v>46199</v>
          </cell>
          <cell r="B140">
            <v>1</v>
          </cell>
          <cell r="C140" t="str">
            <v>VRM074</v>
          </cell>
          <cell r="D140" t="str">
            <v>ADIDAS SUEPRMAGMA AZUL</v>
          </cell>
          <cell r="E140">
            <v>115000</v>
          </cell>
        </row>
        <row r="141">
          <cell r="A141">
            <v>46199</v>
          </cell>
          <cell r="B141">
            <v>1</v>
          </cell>
          <cell r="C141" t="str">
            <v>VRM077</v>
          </cell>
          <cell r="D141" t="str">
            <v>REEBOK CLASSIC GRIS</v>
          </cell>
          <cell r="E141">
            <v>110000</v>
          </cell>
        </row>
        <row r="142">
          <cell r="A142">
            <v>46200</v>
          </cell>
          <cell r="B142">
            <v>1</v>
          </cell>
          <cell r="C142" t="str">
            <v>VRM002</v>
          </cell>
          <cell r="D142" t="str">
            <v>ADIDAS ADIZERO SL CAFÉ AZUL</v>
          </cell>
          <cell r="E142">
            <v>105000</v>
          </cell>
        </row>
        <row r="143">
          <cell r="A143">
            <v>46200</v>
          </cell>
          <cell r="B143">
            <v>1</v>
          </cell>
          <cell r="C143" t="str">
            <v>VRM075</v>
          </cell>
          <cell r="D143" t="str">
            <v>ADIDAS SUPERMAGMA NEGRO NARANJA</v>
          </cell>
          <cell r="E143">
            <v>115000</v>
          </cell>
        </row>
        <row r="144">
          <cell r="A144">
            <v>46200</v>
          </cell>
          <cell r="B144">
            <v>1</v>
          </cell>
          <cell r="C144" t="str">
            <v>VRM032</v>
          </cell>
          <cell r="D144" t="str">
            <v>LOUIS VUITTON G5 GRIS</v>
          </cell>
          <cell r="E144">
            <v>200000</v>
          </cell>
        </row>
        <row r="145">
          <cell r="A145">
            <v>46200</v>
          </cell>
          <cell r="B145">
            <v>1</v>
          </cell>
          <cell r="C145" t="str">
            <v>VRM074</v>
          </cell>
          <cell r="D145" t="str">
            <v>ADIDAS SUEPRMAGMA AZUL</v>
          </cell>
          <cell r="E145">
            <v>115000</v>
          </cell>
        </row>
        <row r="146">
          <cell r="A146">
            <v>46200</v>
          </cell>
          <cell r="B146">
            <v>1</v>
          </cell>
          <cell r="C146" t="str">
            <v>VRM075</v>
          </cell>
          <cell r="D146" t="str">
            <v>ADIDAS SUPERMAGMA NEGRO NARANJA</v>
          </cell>
          <cell r="E146">
            <v>115000</v>
          </cell>
        </row>
        <row r="147">
          <cell r="A147">
            <v>46200</v>
          </cell>
          <cell r="B147">
            <v>1</v>
          </cell>
          <cell r="C147" t="str">
            <v>VRM015</v>
          </cell>
          <cell r="D147" t="str">
            <v>ADIDAS TERREX NEGRA</v>
          </cell>
          <cell r="E147">
            <v>110000</v>
          </cell>
        </row>
        <row r="148">
          <cell r="A148">
            <v>46200</v>
          </cell>
          <cell r="B148">
            <v>1</v>
          </cell>
          <cell r="C148" t="str">
            <v>VRM071</v>
          </cell>
          <cell r="D148" t="str">
            <v>ADIDAS EQT BEIGE VERDE NARANJA</v>
          </cell>
          <cell r="E148">
            <v>105000</v>
          </cell>
        </row>
        <row r="149">
          <cell r="A149">
            <v>46200</v>
          </cell>
          <cell r="B149">
            <v>1</v>
          </cell>
          <cell r="C149" t="str">
            <v>VRM071</v>
          </cell>
          <cell r="D149" t="str">
            <v>ADIDAS EQT BEIGE VERDE NARANJA</v>
          </cell>
          <cell r="E149">
            <v>110000</v>
          </cell>
        </row>
        <row r="150">
          <cell r="A150">
            <v>46201</v>
          </cell>
          <cell r="B150">
            <v>1</v>
          </cell>
          <cell r="C150" t="str">
            <v>VRM052</v>
          </cell>
          <cell r="D150" t="str">
            <v>NIKE AF1 LOW BLANCO</v>
          </cell>
          <cell r="E150">
            <v>100000</v>
          </cell>
        </row>
        <row r="151">
          <cell r="A151">
            <v>46201</v>
          </cell>
          <cell r="B151">
            <v>1</v>
          </cell>
          <cell r="C151" t="str">
            <v>VRM075</v>
          </cell>
          <cell r="D151" t="str">
            <v>ADIDAS SUPERMAGMA NEGRO NARANJA</v>
          </cell>
          <cell r="E151">
            <v>115000</v>
          </cell>
        </row>
        <row r="152">
          <cell r="A152">
            <v>46201</v>
          </cell>
          <cell r="B152">
            <v>1</v>
          </cell>
          <cell r="C152" t="str">
            <v>VRM045</v>
          </cell>
          <cell r="D152" t="str">
            <v>NEW BALANCE 990 CAFÉ</v>
          </cell>
          <cell r="E152">
            <v>120000</v>
          </cell>
        </row>
        <row r="153">
          <cell r="A153">
            <v>46201</v>
          </cell>
          <cell r="B153">
            <v>1</v>
          </cell>
          <cell r="C153" t="str">
            <v>VRM010</v>
          </cell>
          <cell r="D153" t="str">
            <v>ADIDAS SAMBA PLATAFORMA BLANCO VERDE</v>
          </cell>
          <cell r="E153">
            <v>100000</v>
          </cell>
        </row>
        <row r="154">
          <cell r="A154">
            <v>46202</v>
          </cell>
          <cell r="B154">
            <v>1</v>
          </cell>
          <cell r="C154" t="str">
            <v>VRM059</v>
          </cell>
          <cell r="D154" t="str">
            <v>NIKE FREE BEIGE</v>
          </cell>
          <cell r="E154">
            <v>90000</v>
          </cell>
        </row>
        <row r="155">
          <cell r="A155">
            <v>46202</v>
          </cell>
          <cell r="B155">
            <v>1</v>
          </cell>
          <cell r="C155" t="str">
            <v>VRM074</v>
          </cell>
          <cell r="D155" t="str">
            <v>ADIDAS SUEPRMAGMA AZUL</v>
          </cell>
          <cell r="E155">
            <v>115000</v>
          </cell>
        </row>
        <row r="156">
          <cell r="A156">
            <v>46202</v>
          </cell>
          <cell r="B156">
            <v>1</v>
          </cell>
          <cell r="C156" t="str">
            <v>VRM008</v>
          </cell>
          <cell r="D156" t="str">
            <v>ADIDAS SAMBA BLANCA CLASICA</v>
          </cell>
          <cell r="E156">
            <v>90000</v>
          </cell>
        </row>
        <row r="157">
          <cell r="A157">
            <v>46202</v>
          </cell>
          <cell r="B157">
            <v>1</v>
          </cell>
          <cell r="C157" t="str">
            <v>VRM028</v>
          </cell>
          <cell r="D157" t="str">
            <v>JORDAN CADENCE BLANCO ROJO</v>
          </cell>
          <cell r="E157">
            <v>110000</v>
          </cell>
        </row>
        <row r="158">
          <cell r="A158">
            <v>46203</v>
          </cell>
          <cell r="B158">
            <v>1</v>
          </cell>
          <cell r="C158" t="str">
            <v>VRM023</v>
          </cell>
          <cell r="D158" t="str">
            <v>FILA RAY BEIGE MORADO</v>
          </cell>
          <cell r="E158">
            <v>110000</v>
          </cell>
        </row>
        <row r="159">
          <cell r="A159">
            <v>46203</v>
          </cell>
          <cell r="B159">
            <v>1</v>
          </cell>
          <cell r="C159" t="str">
            <v>VRM072</v>
          </cell>
          <cell r="D159" t="str">
            <v>ADIDAS EQT CAFÉ AZUL</v>
          </cell>
          <cell r="E159">
            <v>110000</v>
          </cell>
        </row>
        <row r="160">
          <cell r="A160">
            <v>46203</v>
          </cell>
          <cell r="B160">
            <v>1</v>
          </cell>
          <cell r="C160" t="str">
            <v>VRM075</v>
          </cell>
          <cell r="D160" t="str">
            <v>ADIDAS SUPERMAGMA NEGRO NARANJA</v>
          </cell>
          <cell r="E160">
            <v>115000</v>
          </cell>
        </row>
        <row r="161">
          <cell r="A161">
            <v>46203</v>
          </cell>
          <cell r="B161">
            <v>1</v>
          </cell>
          <cell r="C161" t="str">
            <v>VRM075</v>
          </cell>
          <cell r="D161" t="str">
            <v>ADIDAS SUPERMAGMA NEGRO NARANJA</v>
          </cell>
          <cell r="E161">
            <v>115000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ED44-492A-43A0-BACD-0AF12DB2E761}">
  <dimension ref="A1:J240"/>
  <sheetViews>
    <sheetView workbookViewId="0">
      <pane ySplit="1" topLeftCell="A72" activePane="bottomLeft" state="frozen"/>
      <selection pane="bottomLeft"/>
    </sheetView>
  </sheetViews>
  <sheetFormatPr baseColWidth="10" defaultRowHeight="14.4" x14ac:dyDescent="0.3"/>
  <cols>
    <col min="1" max="1" width="10.5546875" style="2" bestFit="1" customWidth="1"/>
    <col min="2" max="2" width="8.77734375" style="2" bestFit="1" customWidth="1"/>
    <col min="3" max="3" width="38.88671875" style="1" bestFit="1" customWidth="1"/>
    <col min="4" max="4" width="23" style="1" customWidth="1"/>
    <col min="5" max="5" width="10.88671875" style="1" bestFit="1" customWidth="1"/>
    <col min="6" max="6" width="14.77734375" style="3" bestFit="1" customWidth="1"/>
    <col min="7" max="7" width="21.5546875" style="3" bestFit="1" customWidth="1"/>
    <col min="8" max="8" width="12.88671875" style="1" bestFit="1" customWidth="1"/>
    <col min="9" max="11" width="11.5546875" style="1"/>
    <col min="12" max="12" width="15.109375" style="1" bestFit="1" customWidth="1"/>
    <col min="13" max="16384" width="11.5546875" style="1"/>
  </cols>
  <sheetData>
    <row r="1" spans="1:10" s="5" customFormat="1" ht="15.6" x14ac:dyDescent="0.3">
      <c r="A1" s="4" t="s">
        <v>0</v>
      </c>
      <c r="B1" s="4" t="s">
        <v>4</v>
      </c>
      <c r="C1" s="5" t="s">
        <v>1</v>
      </c>
      <c r="D1" s="5" t="s">
        <v>6</v>
      </c>
      <c r="E1" s="5" t="s">
        <v>2</v>
      </c>
      <c r="F1" s="6" t="s">
        <v>3</v>
      </c>
      <c r="G1" s="6" t="s">
        <v>154</v>
      </c>
      <c r="H1" s="5" t="s">
        <v>155</v>
      </c>
    </row>
    <row r="2" spans="1:10" x14ac:dyDescent="0.3">
      <c r="A2" s="2">
        <v>46150</v>
      </c>
      <c r="B2" s="1" t="s">
        <v>5</v>
      </c>
      <c r="C2" s="1" t="s">
        <v>39</v>
      </c>
      <c r="D2" s="1" t="s">
        <v>7</v>
      </c>
      <c r="E2" s="1">
        <v>11</v>
      </c>
      <c r="F2" s="3">
        <v>85000</v>
      </c>
      <c r="G2" s="3">
        <f>+E2*F2</f>
        <v>935000</v>
      </c>
      <c r="H2" s="8">
        <f>+F2+20000</f>
        <v>105000</v>
      </c>
      <c r="J2" s="8"/>
    </row>
    <row r="3" spans="1:10" x14ac:dyDescent="0.3">
      <c r="A3" s="2">
        <v>46150</v>
      </c>
      <c r="B3" s="1" t="s">
        <v>10</v>
      </c>
      <c r="C3" s="1" t="s">
        <v>51</v>
      </c>
      <c r="D3" s="1" t="s">
        <v>7</v>
      </c>
      <c r="E3" s="1">
        <v>11</v>
      </c>
      <c r="F3" s="3">
        <v>85000</v>
      </c>
      <c r="G3" s="3">
        <f t="shared" ref="G3:G66" si="0">+E3*F3</f>
        <v>935000</v>
      </c>
      <c r="H3" s="8">
        <f t="shared" ref="H3:H66" si="1">+F3+20000</f>
        <v>105000</v>
      </c>
    </row>
    <row r="4" spans="1:10" x14ac:dyDescent="0.3">
      <c r="A4" s="2">
        <v>46150</v>
      </c>
      <c r="B4" s="1" t="s">
        <v>11</v>
      </c>
      <c r="C4" s="1" t="s">
        <v>50</v>
      </c>
      <c r="D4" s="1" t="s">
        <v>7</v>
      </c>
      <c r="E4" s="1">
        <v>12</v>
      </c>
      <c r="F4" s="3">
        <v>80000</v>
      </c>
      <c r="G4" s="3">
        <f t="shared" si="0"/>
        <v>960000</v>
      </c>
      <c r="H4" s="8">
        <f t="shared" si="1"/>
        <v>100000</v>
      </c>
    </row>
    <row r="5" spans="1:10" x14ac:dyDescent="0.3">
      <c r="A5" s="2">
        <v>46150</v>
      </c>
      <c r="B5" s="1" t="s">
        <v>13</v>
      </c>
      <c r="C5" s="1" t="s">
        <v>28</v>
      </c>
      <c r="D5" s="1" t="s">
        <v>7</v>
      </c>
      <c r="E5" s="1">
        <v>5</v>
      </c>
      <c r="F5" s="3">
        <v>80000</v>
      </c>
      <c r="G5" s="3">
        <f t="shared" si="0"/>
        <v>400000</v>
      </c>
      <c r="H5" s="8">
        <f t="shared" si="1"/>
        <v>100000</v>
      </c>
    </row>
    <row r="6" spans="1:10" x14ac:dyDescent="0.3">
      <c r="A6" s="2">
        <v>46150</v>
      </c>
      <c r="B6" s="1" t="s">
        <v>83</v>
      </c>
      <c r="C6" s="1" t="s">
        <v>15</v>
      </c>
      <c r="D6" s="1" t="s">
        <v>7</v>
      </c>
      <c r="E6" s="1">
        <v>13</v>
      </c>
      <c r="F6" s="3">
        <v>85000</v>
      </c>
      <c r="G6" s="3">
        <f t="shared" si="0"/>
        <v>1105000</v>
      </c>
      <c r="H6" s="8">
        <f t="shared" si="1"/>
        <v>105000</v>
      </c>
    </row>
    <row r="7" spans="1:10" x14ac:dyDescent="0.3">
      <c r="A7" s="2">
        <v>46150</v>
      </c>
      <c r="B7" s="1" t="s">
        <v>84</v>
      </c>
      <c r="C7" s="1" t="s">
        <v>17</v>
      </c>
      <c r="D7" s="1" t="s">
        <v>7</v>
      </c>
      <c r="E7" s="1">
        <v>23</v>
      </c>
      <c r="F7" s="3">
        <v>80000</v>
      </c>
      <c r="G7" s="3">
        <f t="shared" si="0"/>
        <v>1840000</v>
      </c>
      <c r="H7" s="8">
        <f t="shared" si="1"/>
        <v>100000</v>
      </c>
    </row>
    <row r="8" spans="1:10" x14ac:dyDescent="0.3">
      <c r="A8" s="2">
        <v>46150</v>
      </c>
      <c r="B8" s="1" t="s">
        <v>85</v>
      </c>
      <c r="C8" s="1" t="s">
        <v>18</v>
      </c>
      <c r="D8" s="1" t="s">
        <v>7</v>
      </c>
      <c r="E8" s="1">
        <v>36</v>
      </c>
      <c r="F8" s="3">
        <v>85000</v>
      </c>
      <c r="G8" s="3">
        <f t="shared" si="0"/>
        <v>3060000</v>
      </c>
      <c r="H8" s="8">
        <f t="shared" si="1"/>
        <v>105000</v>
      </c>
    </row>
    <row r="9" spans="1:10" x14ac:dyDescent="0.3">
      <c r="A9" s="2">
        <v>46150</v>
      </c>
      <c r="B9" s="1" t="s">
        <v>86</v>
      </c>
      <c r="C9" s="1" t="s">
        <v>82</v>
      </c>
      <c r="D9" s="1" t="s">
        <v>7</v>
      </c>
      <c r="E9" s="1">
        <v>23</v>
      </c>
      <c r="F9" s="3">
        <v>70000</v>
      </c>
      <c r="G9" s="3">
        <f t="shared" si="0"/>
        <v>1610000</v>
      </c>
      <c r="H9" s="8">
        <f t="shared" si="1"/>
        <v>90000</v>
      </c>
    </row>
    <row r="10" spans="1:10" x14ac:dyDescent="0.3">
      <c r="A10" s="2">
        <v>46150</v>
      </c>
      <c r="B10" s="1" t="s">
        <v>87</v>
      </c>
      <c r="C10" s="1" t="s">
        <v>47</v>
      </c>
      <c r="D10" s="1" t="s">
        <v>7</v>
      </c>
      <c r="E10" s="1">
        <v>22</v>
      </c>
      <c r="F10" s="3">
        <v>70000</v>
      </c>
      <c r="G10" s="3">
        <f t="shared" si="0"/>
        <v>1540000</v>
      </c>
      <c r="H10" s="8">
        <f t="shared" si="1"/>
        <v>90000</v>
      </c>
    </row>
    <row r="11" spans="1:10" x14ac:dyDescent="0.3">
      <c r="A11" s="2">
        <v>46150</v>
      </c>
      <c r="B11" s="1" t="s">
        <v>88</v>
      </c>
      <c r="C11" s="1" t="s">
        <v>23</v>
      </c>
      <c r="D11" s="1" t="s">
        <v>7</v>
      </c>
      <c r="E11" s="1">
        <v>9</v>
      </c>
      <c r="F11" s="3">
        <v>80000</v>
      </c>
      <c r="G11" s="3">
        <f t="shared" si="0"/>
        <v>720000</v>
      </c>
      <c r="H11" s="8">
        <f t="shared" si="1"/>
        <v>100000</v>
      </c>
    </row>
    <row r="12" spans="1:10" x14ac:dyDescent="0.3">
      <c r="A12" s="2">
        <v>46150</v>
      </c>
      <c r="B12" s="1" t="s">
        <v>89</v>
      </c>
      <c r="C12" s="1" t="s">
        <v>43</v>
      </c>
      <c r="D12" s="1" t="s">
        <v>7</v>
      </c>
      <c r="E12" s="1">
        <v>7</v>
      </c>
      <c r="F12" s="3">
        <v>80000</v>
      </c>
      <c r="G12" s="3">
        <f t="shared" si="0"/>
        <v>560000</v>
      </c>
      <c r="H12" s="8">
        <f t="shared" si="1"/>
        <v>100000</v>
      </c>
    </row>
    <row r="13" spans="1:10" x14ac:dyDescent="0.3">
      <c r="A13" s="2">
        <v>46150</v>
      </c>
      <c r="B13" s="1" t="s">
        <v>90</v>
      </c>
      <c r="C13" s="1" t="s">
        <v>46</v>
      </c>
      <c r="D13" s="1" t="s">
        <v>7</v>
      </c>
      <c r="E13" s="1">
        <v>10</v>
      </c>
      <c r="F13" s="3">
        <v>85000</v>
      </c>
      <c r="G13" s="3">
        <f t="shared" si="0"/>
        <v>850000</v>
      </c>
      <c r="H13" s="8">
        <f t="shared" si="1"/>
        <v>105000</v>
      </c>
    </row>
    <row r="14" spans="1:10" x14ac:dyDescent="0.3">
      <c r="A14" s="2">
        <v>46150</v>
      </c>
      <c r="B14" s="1" t="s">
        <v>91</v>
      </c>
      <c r="C14" s="1" t="s">
        <v>42</v>
      </c>
      <c r="D14" s="1" t="s">
        <v>7</v>
      </c>
      <c r="E14" s="1">
        <v>5</v>
      </c>
      <c r="F14" s="3">
        <v>80000</v>
      </c>
      <c r="G14" s="3">
        <f t="shared" si="0"/>
        <v>400000</v>
      </c>
      <c r="H14" s="8">
        <f t="shared" si="1"/>
        <v>100000</v>
      </c>
    </row>
    <row r="15" spans="1:10" x14ac:dyDescent="0.3">
      <c r="A15" s="2">
        <v>46150</v>
      </c>
      <c r="B15" s="1" t="s">
        <v>92</v>
      </c>
      <c r="C15" s="1" t="s">
        <v>41</v>
      </c>
      <c r="D15" s="1" t="s">
        <v>7</v>
      </c>
      <c r="E15" s="1">
        <v>5</v>
      </c>
      <c r="F15" s="3">
        <v>80000</v>
      </c>
      <c r="G15" s="3">
        <f t="shared" si="0"/>
        <v>400000</v>
      </c>
      <c r="H15" s="8">
        <f t="shared" si="1"/>
        <v>100000</v>
      </c>
    </row>
    <row r="16" spans="1:10" x14ac:dyDescent="0.3">
      <c r="A16" s="2">
        <v>46150</v>
      </c>
      <c r="B16" s="1" t="s">
        <v>93</v>
      </c>
      <c r="C16" s="1" t="s">
        <v>72</v>
      </c>
      <c r="D16" s="1" t="s">
        <v>7</v>
      </c>
      <c r="E16" s="1">
        <v>17</v>
      </c>
      <c r="F16" s="3">
        <v>90000</v>
      </c>
      <c r="G16" s="3">
        <f t="shared" si="0"/>
        <v>1530000</v>
      </c>
      <c r="H16" s="8">
        <f t="shared" si="1"/>
        <v>110000</v>
      </c>
    </row>
    <row r="17" spans="1:8" x14ac:dyDescent="0.3">
      <c r="A17" s="2">
        <v>46150</v>
      </c>
      <c r="B17" s="1" t="s">
        <v>94</v>
      </c>
      <c r="C17" s="1" t="s">
        <v>73</v>
      </c>
      <c r="D17" s="1" t="s">
        <v>7</v>
      </c>
      <c r="E17" s="1">
        <v>7</v>
      </c>
      <c r="F17" s="3">
        <v>90000</v>
      </c>
      <c r="G17" s="3">
        <f t="shared" si="0"/>
        <v>630000</v>
      </c>
      <c r="H17" s="8">
        <f t="shared" si="1"/>
        <v>110000</v>
      </c>
    </row>
    <row r="18" spans="1:8" x14ac:dyDescent="0.3">
      <c r="A18" s="2">
        <v>46150</v>
      </c>
      <c r="B18" s="1" t="s">
        <v>95</v>
      </c>
      <c r="C18" s="1" t="s">
        <v>44</v>
      </c>
      <c r="D18" s="1" t="s">
        <v>7</v>
      </c>
      <c r="E18" s="1">
        <v>4</v>
      </c>
      <c r="F18" s="3">
        <v>80000</v>
      </c>
      <c r="G18" s="3">
        <f t="shared" si="0"/>
        <v>320000</v>
      </c>
      <c r="H18" s="8">
        <f t="shared" si="1"/>
        <v>100000</v>
      </c>
    </row>
    <row r="19" spans="1:8" x14ac:dyDescent="0.3">
      <c r="A19" s="2">
        <v>46150</v>
      </c>
      <c r="B19" s="1" t="s">
        <v>96</v>
      </c>
      <c r="C19" s="1" t="s">
        <v>38</v>
      </c>
      <c r="D19" s="1" t="s">
        <v>7</v>
      </c>
      <c r="E19" s="1">
        <v>19</v>
      </c>
      <c r="F19" s="3">
        <v>100000</v>
      </c>
      <c r="G19" s="3">
        <f t="shared" si="0"/>
        <v>1900000</v>
      </c>
      <c r="H19" s="8">
        <f t="shared" si="1"/>
        <v>120000</v>
      </c>
    </row>
    <row r="20" spans="1:8" x14ac:dyDescent="0.3">
      <c r="A20" s="2">
        <v>46150</v>
      </c>
      <c r="B20" s="1" t="s">
        <v>97</v>
      </c>
      <c r="C20" s="1" t="s">
        <v>40</v>
      </c>
      <c r="D20" s="1" t="s">
        <v>7</v>
      </c>
      <c r="E20" s="1">
        <v>8</v>
      </c>
      <c r="F20" s="3">
        <v>100000</v>
      </c>
      <c r="G20" s="3">
        <f t="shared" si="0"/>
        <v>800000</v>
      </c>
      <c r="H20" s="8">
        <f t="shared" si="1"/>
        <v>120000</v>
      </c>
    </row>
    <row r="21" spans="1:8" x14ac:dyDescent="0.3">
      <c r="A21" s="2">
        <v>46150</v>
      </c>
      <c r="B21" s="1" t="s">
        <v>98</v>
      </c>
      <c r="C21" s="1" t="s">
        <v>27</v>
      </c>
      <c r="D21" s="1" t="s">
        <v>7</v>
      </c>
      <c r="E21" s="1">
        <v>6</v>
      </c>
      <c r="F21" s="3">
        <v>70000</v>
      </c>
      <c r="G21" s="3">
        <f t="shared" si="0"/>
        <v>420000</v>
      </c>
      <c r="H21" s="8">
        <f t="shared" si="1"/>
        <v>90000</v>
      </c>
    </row>
    <row r="22" spans="1:8" x14ac:dyDescent="0.3">
      <c r="A22" s="2">
        <v>46150</v>
      </c>
      <c r="B22" s="1" t="s">
        <v>99</v>
      </c>
      <c r="C22" s="1" t="s">
        <v>26</v>
      </c>
      <c r="D22" s="1" t="s">
        <v>7</v>
      </c>
      <c r="E22" s="1">
        <v>2</v>
      </c>
      <c r="F22" s="3">
        <v>70000</v>
      </c>
      <c r="G22" s="3">
        <f t="shared" si="0"/>
        <v>140000</v>
      </c>
      <c r="H22" s="8">
        <f t="shared" si="1"/>
        <v>90000</v>
      </c>
    </row>
    <row r="23" spans="1:8" x14ac:dyDescent="0.3">
      <c r="A23" s="2">
        <v>46150</v>
      </c>
      <c r="B23" s="1" t="s">
        <v>100</v>
      </c>
      <c r="C23" s="1" t="s">
        <v>30</v>
      </c>
      <c r="D23" s="1" t="s">
        <v>7</v>
      </c>
      <c r="E23" s="1">
        <v>2</v>
      </c>
      <c r="F23" s="3">
        <v>70000</v>
      </c>
      <c r="G23" s="3">
        <f t="shared" si="0"/>
        <v>140000</v>
      </c>
      <c r="H23" s="8">
        <f t="shared" si="1"/>
        <v>90000</v>
      </c>
    </row>
    <row r="24" spans="1:8" x14ac:dyDescent="0.3">
      <c r="A24" s="2">
        <v>46150</v>
      </c>
      <c r="B24" s="1" t="s">
        <v>101</v>
      </c>
      <c r="C24" s="1" t="s">
        <v>74</v>
      </c>
      <c r="D24" s="1" t="s">
        <v>7</v>
      </c>
      <c r="E24" s="1">
        <v>15</v>
      </c>
      <c r="F24" s="3">
        <f>2040000/24</f>
        <v>85000</v>
      </c>
      <c r="G24" s="3">
        <f t="shared" si="0"/>
        <v>1275000</v>
      </c>
      <c r="H24" s="8">
        <f t="shared" si="1"/>
        <v>105000</v>
      </c>
    </row>
    <row r="25" spans="1:8" x14ac:dyDescent="0.3">
      <c r="A25" s="2">
        <v>46150</v>
      </c>
      <c r="B25" s="1" t="s">
        <v>102</v>
      </c>
      <c r="C25" s="1" t="s">
        <v>70</v>
      </c>
      <c r="D25" s="1" t="s">
        <v>7</v>
      </c>
      <c r="E25" s="1">
        <v>2</v>
      </c>
      <c r="F25" s="3">
        <v>85000</v>
      </c>
      <c r="G25" s="3">
        <f t="shared" si="0"/>
        <v>170000</v>
      </c>
      <c r="H25" s="8">
        <f t="shared" si="1"/>
        <v>105000</v>
      </c>
    </row>
    <row r="26" spans="1:8" x14ac:dyDescent="0.3">
      <c r="A26" s="2">
        <v>46150</v>
      </c>
      <c r="B26" s="1" t="s">
        <v>103</v>
      </c>
      <c r="C26" s="1" t="s">
        <v>65</v>
      </c>
      <c r="D26" s="1" t="s">
        <v>7</v>
      </c>
      <c r="E26" s="1">
        <v>17</v>
      </c>
      <c r="F26" s="3">
        <v>85000</v>
      </c>
      <c r="G26" s="3">
        <f t="shared" si="0"/>
        <v>1445000</v>
      </c>
      <c r="H26" s="8">
        <f t="shared" si="1"/>
        <v>105000</v>
      </c>
    </row>
    <row r="27" spans="1:8" x14ac:dyDescent="0.3">
      <c r="A27" s="2">
        <v>46150</v>
      </c>
      <c r="B27" s="1" t="s">
        <v>104</v>
      </c>
      <c r="C27" s="1" t="s">
        <v>54</v>
      </c>
      <c r="D27" s="1" t="s">
        <v>7</v>
      </c>
      <c r="E27" s="1">
        <v>4</v>
      </c>
      <c r="F27" s="3">
        <v>80000</v>
      </c>
      <c r="G27" s="3">
        <f t="shared" si="0"/>
        <v>320000</v>
      </c>
      <c r="H27" s="8">
        <f t="shared" si="1"/>
        <v>100000</v>
      </c>
    </row>
    <row r="28" spans="1:8" x14ac:dyDescent="0.3">
      <c r="A28" s="2">
        <v>46150</v>
      </c>
      <c r="B28" s="1" t="s">
        <v>105</v>
      </c>
      <c r="C28" s="1" t="s">
        <v>14</v>
      </c>
      <c r="D28" s="1" t="s">
        <v>7</v>
      </c>
      <c r="E28" s="1">
        <v>23</v>
      </c>
      <c r="F28" s="3">
        <v>85000</v>
      </c>
      <c r="G28" s="3">
        <f t="shared" si="0"/>
        <v>1955000</v>
      </c>
      <c r="H28" s="8">
        <f t="shared" si="1"/>
        <v>105000</v>
      </c>
    </row>
    <row r="29" spans="1:8" x14ac:dyDescent="0.3">
      <c r="A29" s="2">
        <v>46150</v>
      </c>
      <c r="B29" s="1" t="s">
        <v>106</v>
      </c>
      <c r="C29" s="1" t="s">
        <v>24</v>
      </c>
      <c r="D29" s="1" t="s">
        <v>7</v>
      </c>
      <c r="E29" s="1">
        <v>21</v>
      </c>
      <c r="F29" s="3">
        <v>90000</v>
      </c>
      <c r="G29" s="3">
        <f t="shared" si="0"/>
        <v>1890000</v>
      </c>
      <c r="H29" s="8">
        <f t="shared" si="1"/>
        <v>110000</v>
      </c>
    </row>
    <row r="30" spans="1:8" x14ac:dyDescent="0.3">
      <c r="A30" s="2">
        <v>46150</v>
      </c>
      <c r="B30" s="1" t="s">
        <v>107</v>
      </c>
      <c r="C30" s="1" t="s">
        <v>77</v>
      </c>
      <c r="D30" s="1" t="s">
        <v>7</v>
      </c>
      <c r="E30" s="1">
        <v>5</v>
      </c>
      <c r="F30" s="3">
        <v>80000</v>
      </c>
      <c r="G30" s="3">
        <f t="shared" si="0"/>
        <v>400000</v>
      </c>
      <c r="H30" s="8">
        <f t="shared" si="1"/>
        <v>100000</v>
      </c>
    </row>
    <row r="31" spans="1:8" x14ac:dyDescent="0.3">
      <c r="A31" s="2">
        <v>46150</v>
      </c>
      <c r="B31" s="1" t="s">
        <v>108</v>
      </c>
      <c r="C31" s="1" t="s">
        <v>78</v>
      </c>
      <c r="D31" s="1" t="s">
        <v>7</v>
      </c>
      <c r="E31" s="1">
        <v>10</v>
      </c>
      <c r="F31" s="3">
        <v>80000</v>
      </c>
      <c r="G31" s="3">
        <f t="shared" si="0"/>
        <v>800000</v>
      </c>
      <c r="H31" s="8">
        <f t="shared" si="1"/>
        <v>100000</v>
      </c>
    </row>
    <row r="32" spans="1:8" x14ac:dyDescent="0.3">
      <c r="A32" s="2">
        <v>46150</v>
      </c>
      <c r="B32" s="1" t="s">
        <v>109</v>
      </c>
      <c r="C32" s="1" t="s">
        <v>53</v>
      </c>
      <c r="D32" s="1" t="s">
        <v>7</v>
      </c>
      <c r="E32" s="1">
        <v>23</v>
      </c>
      <c r="F32" s="3">
        <v>85000</v>
      </c>
      <c r="G32" s="3">
        <f t="shared" si="0"/>
        <v>1955000</v>
      </c>
      <c r="H32" s="8">
        <f t="shared" si="1"/>
        <v>105000</v>
      </c>
    </row>
    <row r="33" spans="1:8" x14ac:dyDescent="0.3">
      <c r="A33" s="2">
        <v>46150</v>
      </c>
      <c r="B33" s="1" t="s">
        <v>110</v>
      </c>
      <c r="C33" s="1" t="s">
        <v>79</v>
      </c>
      <c r="D33" s="1" t="s">
        <v>7</v>
      </c>
      <c r="E33" s="1">
        <v>39</v>
      </c>
      <c r="F33" s="3">
        <v>150000</v>
      </c>
      <c r="G33" s="3">
        <f t="shared" si="0"/>
        <v>5850000</v>
      </c>
      <c r="H33" s="8">
        <v>200000</v>
      </c>
    </row>
    <row r="34" spans="1:8" x14ac:dyDescent="0.3">
      <c r="A34" s="2">
        <v>46150</v>
      </c>
      <c r="B34" s="1" t="s">
        <v>111</v>
      </c>
      <c r="C34" s="1" t="s">
        <v>80</v>
      </c>
      <c r="D34" s="1" t="s">
        <v>7</v>
      </c>
      <c r="E34" s="1">
        <v>38</v>
      </c>
      <c r="F34" s="3">
        <v>150000</v>
      </c>
      <c r="G34" s="3">
        <f t="shared" si="0"/>
        <v>5700000</v>
      </c>
      <c r="H34" s="8">
        <v>200000</v>
      </c>
    </row>
    <row r="35" spans="1:8" x14ac:dyDescent="0.3">
      <c r="A35" s="2">
        <v>46150</v>
      </c>
      <c r="B35" s="1" t="s">
        <v>112</v>
      </c>
      <c r="C35" s="1" t="s">
        <v>75</v>
      </c>
      <c r="D35" s="1" t="s">
        <v>7</v>
      </c>
      <c r="E35" s="1">
        <v>6</v>
      </c>
      <c r="F35" s="3">
        <v>85000</v>
      </c>
      <c r="G35" s="3">
        <f t="shared" si="0"/>
        <v>510000</v>
      </c>
      <c r="H35" s="8">
        <f t="shared" si="1"/>
        <v>105000</v>
      </c>
    </row>
    <row r="36" spans="1:8" x14ac:dyDescent="0.3">
      <c r="A36" s="2">
        <v>46150</v>
      </c>
      <c r="B36" s="1" t="s">
        <v>113</v>
      </c>
      <c r="C36" s="1" t="s">
        <v>21</v>
      </c>
      <c r="D36" s="1" t="s">
        <v>7</v>
      </c>
      <c r="E36" s="1">
        <v>11</v>
      </c>
      <c r="F36" s="3">
        <v>66000</v>
      </c>
      <c r="G36" s="3">
        <f t="shared" si="0"/>
        <v>726000</v>
      </c>
      <c r="H36" s="8">
        <v>100000</v>
      </c>
    </row>
    <row r="37" spans="1:8" x14ac:dyDescent="0.3">
      <c r="A37" s="2">
        <v>46150</v>
      </c>
      <c r="B37" s="1" t="s">
        <v>114</v>
      </c>
      <c r="C37" s="1" t="s">
        <v>31</v>
      </c>
      <c r="D37" s="1" t="s">
        <v>7</v>
      </c>
      <c r="E37" s="1">
        <v>2</v>
      </c>
      <c r="F37" s="3">
        <v>80000</v>
      </c>
      <c r="G37" s="3">
        <f t="shared" si="0"/>
        <v>160000</v>
      </c>
      <c r="H37" s="8">
        <f t="shared" si="1"/>
        <v>100000</v>
      </c>
    </row>
    <row r="38" spans="1:8" x14ac:dyDescent="0.3">
      <c r="A38" s="2">
        <v>46150</v>
      </c>
      <c r="B38" s="1" t="s">
        <v>115</v>
      </c>
      <c r="C38" s="1" t="s">
        <v>16</v>
      </c>
      <c r="D38" s="1" t="s">
        <v>7</v>
      </c>
      <c r="E38" s="1">
        <f>19+15</f>
        <v>34</v>
      </c>
      <c r="F38" s="3">
        <v>75000</v>
      </c>
      <c r="G38" s="3">
        <f t="shared" si="0"/>
        <v>2550000</v>
      </c>
      <c r="H38" s="8">
        <v>100000</v>
      </c>
    </row>
    <row r="39" spans="1:8" x14ac:dyDescent="0.3">
      <c r="A39" s="2">
        <v>46150</v>
      </c>
      <c r="B39" s="1" t="s">
        <v>116</v>
      </c>
      <c r="C39" s="1" t="s">
        <v>19</v>
      </c>
      <c r="D39" s="1" t="s">
        <v>7</v>
      </c>
      <c r="E39" s="1">
        <v>26</v>
      </c>
      <c r="F39" s="3">
        <v>75000</v>
      </c>
      <c r="G39" s="3">
        <f t="shared" si="0"/>
        <v>1950000</v>
      </c>
      <c r="H39" s="8">
        <v>100000</v>
      </c>
    </row>
    <row r="40" spans="1:8" x14ac:dyDescent="0.3">
      <c r="A40" s="2">
        <v>46150</v>
      </c>
      <c r="B40" s="1" t="s">
        <v>117</v>
      </c>
      <c r="C40" s="1" t="s">
        <v>69</v>
      </c>
      <c r="D40" s="1" t="s">
        <v>7</v>
      </c>
      <c r="E40" s="1">
        <v>3</v>
      </c>
      <c r="F40" s="3">
        <v>100000</v>
      </c>
      <c r="G40" s="3">
        <f t="shared" si="0"/>
        <v>300000</v>
      </c>
      <c r="H40" s="8">
        <f t="shared" si="1"/>
        <v>120000</v>
      </c>
    </row>
    <row r="41" spans="1:8" x14ac:dyDescent="0.3">
      <c r="A41" s="2">
        <v>46150</v>
      </c>
      <c r="B41" s="1" t="s">
        <v>118</v>
      </c>
      <c r="C41" s="1" t="s">
        <v>55</v>
      </c>
      <c r="D41" s="1" t="s">
        <v>7</v>
      </c>
      <c r="E41" s="1">
        <v>5</v>
      </c>
      <c r="F41" s="3">
        <v>80000</v>
      </c>
      <c r="G41" s="3">
        <f t="shared" si="0"/>
        <v>400000</v>
      </c>
      <c r="H41" s="8">
        <f t="shared" si="1"/>
        <v>100000</v>
      </c>
    </row>
    <row r="42" spans="1:8" x14ac:dyDescent="0.3">
      <c r="A42" s="2">
        <v>46150</v>
      </c>
      <c r="B42" s="1" t="s">
        <v>119</v>
      </c>
      <c r="C42" s="1" t="s">
        <v>68</v>
      </c>
      <c r="D42" s="1" t="s">
        <v>7</v>
      </c>
      <c r="E42" s="1">
        <v>2</v>
      </c>
      <c r="F42" s="3">
        <v>80000</v>
      </c>
      <c r="G42" s="3">
        <f t="shared" si="0"/>
        <v>160000</v>
      </c>
      <c r="H42" s="8">
        <f t="shared" si="1"/>
        <v>100000</v>
      </c>
    </row>
    <row r="43" spans="1:8" x14ac:dyDescent="0.3">
      <c r="A43" s="2">
        <v>46150</v>
      </c>
      <c r="B43" s="1" t="s">
        <v>120</v>
      </c>
      <c r="C43" s="1" t="s">
        <v>60</v>
      </c>
      <c r="D43" s="1" t="s">
        <v>7</v>
      </c>
      <c r="E43" s="1">
        <v>12</v>
      </c>
      <c r="F43" s="3">
        <v>85000</v>
      </c>
      <c r="G43" s="3">
        <f t="shared" si="0"/>
        <v>1020000</v>
      </c>
      <c r="H43" s="8">
        <f t="shared" si="1"/>
        <v>105000</v>
      </c>
    </row>
    <row r="44" spans="1:8" x14ac:dyDescent="0.3">
      <c r="A44" s="2">
        <v>46150</v>
      </c>
      <c r="B44" s="1" t="s">
        <v>121</v>
      </c>
      <c r="C44" s="1" t="s">
        <v>71</v>
      </c>
      <c r="D44" s="1" t="s">
        <v>7</v>
      </c>
      <c r="E44" s="1">
        <v>4</v>
      </c>
      <c r="F44" s="3">
        <v>80000</v>
      </c>
      <c r="G44" s="3">
        <f t="shared" si="0"/>
        <v>320000</v>
      </c>
      <c r="H44" s="8">
        <f t="shared" si="1"/>
        <v>100000</v>
      </c>
    </row>
    <row r="45" spans="1:8" x14ac:dyDescent="0.3">
      <c r="A45" s="2">
        <v>46150</v>
      </c>
      <c r="B45" s="1" t="s">
        <v>122</v>
      </c>
      <c r="C45" s="1" t="s">
        <v>22</v>
      </c>
      <c r="D45" s="1" t="s">
        <v>7</v>
      </c>
      <c r="E45" s="1">
        <v>14</v>
      </c>
      <c r="F45" s="3">
        <v>90000</v>
      </c>
      <c r="G45" s="3">
        <f t="shared" si="0"/>
        <v>1260000</v>
      </c>
      <c r="H45" s="8">
        <f t="shared" si="1"/>
        <v>110000</v>
      </c>
    </row>
    <row r="46" spans="1:8" x14ac:dyDescent="0.3">
      <c r="A46" s="2">
        <v>46150</v>
      </c>
      <c r="B46" s="1" t="s">
        <v>123</v>
      </c>
      <c r="C46" s="1" t="s">
        <v>56</v>
      </c>
      <c r="D46" s="1" t="s">
        <v>7</v>
      </c>
      <c r="E46" s="1">
        <v>3</v>
      </c>
      <c r="F46" s="3">
        <v>100000</v>
      </c>
      <c r="G46" s="3">
        <f t="shared" si="0"/>
        <v>300000</v>
      </c>
      <c r="H46" s="8">
        <f t="shared" si="1"/>
        <v>120000</v>
      </c>
    </row>
    <row r="47" spans="1:8" x14ac:dyDescent="0.3">
      <c r="A47" s="2">
        <v>46150</v>
      </c>
      <c r="B47" s="1" t="s">
        <v>124</v>
      </c>
      <c r="C47" s="1" t="s">
        <v>58</v>
      </c>
      <c r="D47" s="1" t="s">
        <v>7</v>
      </c>
      <c r="E47" s="1">
        <v>3</v>
      </c>
      <c r="F47" s="3">
        <v>100000</v>
      </c>
      <c r="G47" s="3">
        <f t="shared" si="0"/>
        <v>300000</v>
      </c>
      <c r="H47" s="8">
        <f t="shared" si="1"/>
        <v>120000</v>
      </c>
    </row>
    <row r="48" spans="1:8" x14ac:dyDescent="0.3">
      <c r="A48" s="2">
        <v>46150</v>
      </c>
      <c r="B48" s="1" t="s">
        <v>125</v>
      </c>
      <c r="C48" s="1" t="s">
        <v>57</v>
      </c>
      <c r="D48" s="1" t="s">
        <v>7</v>
      </c>
      <c r="E48" s="1">
        <v>3</v>
      </c>
      <c r="F48" s="3">
        <v>100000</v>
      </c>
      <c r="G48" s="3">
        <f t="shared" si="0"/>
        <v>300000</v>
      </c>
      <c r="H48" s="8">
        <f t="shared" si="1"/>
        <v>120000</v>
      </c>
    </row>
    <row r="49" spans="1:8" x14ac:dyDescent="0.3">
      <c r="A49" s="2">
        <v>46150</v>
      </c>
      <c r="B49" s="1" t="s">
        <v>126</v>
      </c>
      <c r="C49" s="1" t="s">
        <v>29</v>
      </c>
      <c r="D49" s="1" t="s">
        <v>7</v>
      </c>
      <c r="E49" s="1">
        <v>9</v>
      </c>
      <c r="F49" s="3">
        <v>80000</v>
      </c>
      <c r="G49" s="3">
        <f t="shared" si="0"/>
        <v>720000</v>
      </c>
      <c r="H49" s="8">
        <f t="shared" si="1"/>
        <v>100000</v>
      </c>
    </row>
    <row r="50" spans="1:8" x14ac:dyDescent="0.3">
      <c r="A50" s="2">
        <v>46150</v>
      </c>
      <c r="B50" s="1" t="s">
        <v>127</v>
      </c>
      <c r="C50" s="1" t="s">
        <v>81</v>
      </c>
      <c r="D50" s="1" t="s">
        <v>7</v>
      </c>
      <c r="E50" s="1">
        <v>15</v>
      </c>
      <c r="F50" s="3">
        <v>80000</v>
      </c>
      <c r="G50" s="3">
        <f t="shared" si="0"/>
        <v>1200000</v>
      </c>
      <c r="H50" s="8">
        <f t="shared" si="1"/>
        <v>100000</v>
      </c>
    </row>
    <row r="51" spans="1:8" x14ac:dyDescent="0.3">
      <c r="A51" s="2">
        <v>46150</v>
      </c>
      <c r="B51" s="1" t="s">
        <v>128</v>
      </c>
      <c r="C51" s="1" t="s">
        <v>36</v>
      </c>
      <c r="D51" s="1" t="s">
        <v>7</v>
      </c>
      <c r="E51" s="1">
        <v>11</v>
      </c>
      <c r="F51" s="3">
        <v>80000</v>
      </c>
      <c r="G51" s="3">
        <f t="shared" si="0"/>
        <v>880000</v>
      </c>
      <c r="H51" s="8">
        <f t="shared" si="1"/>
        <v>100000</v>
      </c>
    </row>
    <row r="52" spans="1:8" x14ac:dyDescent="0.3">
      <c r="A52" s="2">
        <v>46150</v>
      </c>
      <c r="B52" s="1" t="s">
        <v>129</v>
      </c>
      <c r="C52" s="1" t="s">
        <v>52</v>
      </c>
      <c r="D52" s="1" t="s">
        <v>7</v>
      </c>
      <c r="E52" s="1">
        <v>9</v>
      </c>
      <c r="F52" s="3">
        <v>85000</v>
      </c>
      <c r="G52" s="3">
        <f t="shared" si="0"/>
        <v>765000</v>
      </c>
      <c r="H52" s="8">
        <f t="shared" si="1"/>
        <v>105000</v>
      </c>
    </row>
    <row r="53" spans="1:8" x14ac:dyDescent="0.3">
      <c r="A53" s="2">
        <v>46150</v>
      </c>
      <c r="B53" s="1" t="s">
        <v>130</v>
      </c>
      <c r="C53" s="1" t="s">
        <v>25</v>
      </c>
      <c r="D53" s="1" t="s">
        <v>7</v>
      </c>
      <c r="E53" s="1">
        <f>38+1</f>
        <v>39</v>
      </c>
      <c r="F53" s="3">
        <f>3360000/48</f>
        <v>70000</v>
      </c>
      <c r="G53" s="3">
        <f t="shared" si="0"/>
        <v>2730000</v>
      </c>
      <c r="H53" s="8">
        <f t="shared" si="1"/>
        <v>90000</v>
      </c>
    </row>
    <row r="54" spans="1:8" x14ac:dyDescent="0.3">
      <c r="A54" s="2">
        <v>46150</v>
      </c>
      <c r="B54" s="1" t="s">
        <v>131</v>
      </c>
      <c r="C54" s="1" t="s">
        <v>61</v>
      </c>
      <c r="D54" s="1" t="s">
        <v>7</v>
      </c>
      <c r="E54" s="1">
        <v>8</v>
      </c>
      <c r="F54" s="3">
        <v>80000</v>
      </c>
      <c r="G54" s="3">
        <f t="shared" si="0"/>
        <v>640000</v>
      </c>
      <c r="H54" s="8">
        <f t="shared" si="1"/>
        <v>100000</v>
      </c>
    </row>
    <row r="55" spans="1:8" x14ac:dyDescent="0.3">
      <c r="A55" s="2">
        <v>46150</v>
      </c>
      <c r="B55" s="1" t="s">
        <v>132</v>
      </c>
      <c r="C55" s="7" t="s">
        <v>35</v>
      </c>
      <c r="D55" s="1" t="s">
        <v>7</v>
      </c>
      <c r="E55" s="7">
        <f>6+16</f>
        <v>22</v>
      </c>
      <c r="F55" s="3">
        <v>80000</v>
      </c>
      <c r="G55" s="3">
        <f t="shared" si="0"/>
        <v>1760000</v>
      </c>
      <c r="H55" s="8">
        <f t="shared" si="1"/>
        <v>100000</v>
      </c>
    </row>
    <row r="56" spans="1:8" x14ac:dyDescent="0.3">
      <c r="A56" s="2">
        <v>46150</v>
      </c>
      <c r="B56" s="1" t="s">
        <v>133</v>
      </c>
      <c r="C56" s="1" t="s">
        <v>62</v>
      </c>
      <c r="D56" s="1" t="s">
        <v>7</v>
      </c>
      <c r="E56" s="1">
        <v>2</v>
      </c>
      <c r="F56" s="3">
        <v>85000</v>
      </c>
      <c r="G56" s="3">
        <f t="shared" si="0"/>
        <v>170000</v>
      </c>
      <c r="H56" s="8">
        <f t="shared" si="1"/>
        <v>105000</v>
      </c>
    </row>
    <row r="57" spans="1:8" x14ac:dyDescent="0.3">
      <c r="A57" s="2">
        <v>46150</v>
      </c>
      <c r="B57" s="1" t="s">
        <v>134</v>
      </c>
      <c r="C57" s="1" t="s">
        <v>33</v>
      </c>
      <c r="D57" s="1" t="s">
        <v>7</v>
      </c>
      <c r="E57" s="1">
        <v>12</v>
      </c>
      <c r="F57" s="3">
        <v>80000</v>
      </c>
      <c r="G57" s="3">
        <f t="shared" si="0"/>
        <v>960000</v>
      </c>
      <c r="H57" s="8">
        <f t="shared" si="1"/>
        <v>100000</v>
      </c>
    </row>
    <row r="58" spans="1:8" x14ac:dyDescent="0.3">
      <c r="A58" s="2">
        <v>46150</v>
      </c>
      <c r="B58" s="1" t="s">
        <v>135</v>
      </c>
      <c r="C58" s="1" t="s">
        <v>12</v>
      </c>
      <c r="D58" s="1" t="s">
        <v>7</v>
      </c>
      <c r="E58" s="1">
        <v>3</v>
      </c>
      <c r="F58" s="3">
        <v>80000</v>
      </c>
      <c r="G58" s="3">
        <f t="shared" si="0"/>
        <v>240000</v>
      </c>
      <c r="H58" s="8">
        <f t="shared" si="1"/>
        <v>100000</v>
      </c>
    </row>
    <row r="59" spans="1:8" x14ac:dyDescent="0.3">
      <c r="A59" s="2">
        <v>46150</v>
      </c>
      <c r="B59" s="1" t="s">
        <v>136</v>
      </c>
      <c r="C59" s="1" t="s">
        <v>34</v>
      </c>
      <c r="D59" s="1" t="s">
        <v>7</v>
      </c>
      <c r="E59" s="1">
        <v>13</v>
      </c>
      <c r="F59" s="3">
        <v>80000</v>
      </c>
      <c r="G59" s="3">
        <f t="shared" si="0"/>
        <v>1040000</v>
      </c>
      <c r="H59" s="8">
        <f t="shared" si="1"/>
        <v>100000</v>
      </c>
    </row>
    <row r="60" spans="1:8" x14ac:dyDescent="0.3">
      <c r="A60" s="2">
        <v>46150</v>
      </c>
      <c r="B60" s="1" t="s">
        <v>137</v>
      </c>
      <c r="C60" s="1" t="s">
        <v>37</v>
      </c>
      <c r="D60" s="1" t="s">
        <v>7</v>
      </c>
      <c r="E60" s="1">
        <v>20</v>
      </c>
      <c r="F60" s="3">
        <v>80000</v>
      </c>
      <c r="G60" s="3">
        <f t="shared" si="0"/>
        <v>1600000</v>
      </c>
      <c r="H60" s="8">
        <f t="shared" si="1"/>
        <v>100000</v>
      </c>
    </row>
    <row r="61" spans="1:8" x14ac:dyDescent="0.3">
      <c r="A61" s="2">
        <v>46150</v>
      </c>
      <c r="B61" s="1" t="s">
        <v>138</v>
      </c>
      <c r="C61" s="1" t="s">
        <v>64</v>
      </c>
      <c r="D61" s="1" t="s">
        <v>7</v>
      </c>
      <c r="E61" s="1">
        <v>31</v>
      </c>
      <c r="F61" s="3">
        <v>80000</v>
      </c>
      <c r="G61" s="3">
        <f t="shared" si="0"/>
        <v>2480000</v>
      </c>
      <c r="H61" s="8">
        <f t="shared" si="1"/>
        <v>100000</v>
      </c>
    </row>
    <row r="62" spans="1:8" x14ac:dyDescent="0.3">
      <c r="A62" s="2">
        <v>46150</v>
      </c>
      <c r="B62" s="1" t="s">
        <v>139</v>
      </c>
      <c r="C62" s="1" t="s">
        <v>20</v>
      </c>
      <c r="D62" s="1" t="s">
        <v>7</v>
      </c>
      <c r="E62" s="1">
        <v>24</v>
      </c>
      <c r="F62" s="3">
        <v>85000</v>
      </c>
      <c r="G62" s="3">
        <f t="shared" si="0"/>
        <v>2040000</v>
      </c>
      <c r="H62" s="8">
        <f t="shared" si="1"/>
        <v>105000</v>
      </c>
    </row>
    <row r="63" spans="1:8" x14ac:dyDescent="0.3">
      <c r="A63" s="2">
        <v>46150</v>
      </c>
      <c r="B63" s="1" t="s">
        <v>140</v>
      </c>
      <c r="C63" s="1" t="s">
        <v>48</v>
      </c>
      <c r="D63" s="1" t="s">
        <v>7</v>
      </c>
      <c r="E63" s="1">
        <v>24</v>
      </c>
      <c r="F63" s="3">
        <v>80000</v>
      </c>
      <c r="G63" s="3">
        <f t="shared" si="0"/>
        <v>1920000</v>
      </c>
      <c r="H63" s="8">
        <f t="shared" si="1"/>
        <v>100000</v>
      </c>
    </row>
    <row r="64" spans="1:8" x14ac:dyDescent="0.3">
      <c r="A64" s="2">
        <v>46150</v>
      </c>
      <c r="B64" s="1" t="s">
        <v>141</v>
      </c>
      <c r="C64" s="1" t="s">
        <v>59</v>
      </c>
      <c r="D64" s="1" t="s">
        <v>7</v>
      </c>
      <c r="E64" s="1">
        <v>3</v>
      </c>
      <c r="F64" s="3">
        <v>80000</v>
      </c>
      <c r="G64" s="3">
        <f t="shared" si="0"/>
        <v>240000</v>
      </c>
      <c r="H64" s="8">
        <f t="shared" si="1"/>
        <v>100000</v>
      </c>
    </row>
    <row r="65" spans="1:8" x14ac:dyDescent="0.3">
      <c r="A65" s="2">
        <v>46150</v>
      </c>
      <c r="B65" s="1" t="s">
        <v>142</v>
      </c>
      <c r="C65" s="1" t="s">
        <v>76</v>
      </c>
      <c r="D65" s="1" t="s">
        <v>7</v>
      </c>
      <c r="E65" s="1">
        <v>19</v>
      </c>
      <c r="F65" s="3">
        <v>85000</v>
      </c>
      <c r="G65" s="3">
        <f t="shared" si="0"/>
        <v>1615000</v>
      </c>
      <c r="H65" s="8">
        <f t="shared" si="1"/>
        <v>105000</v>
      </c>
    </row>
    <row r="66" spans="1:8" x14ac:dyDescent="0.3">
      <c r="A66" s="2">
        <v>46150</v>
      </c>
      <c r="B66" s="1" t="s">
        <v>143</v>
      </c>
      <c r="C66" s="1" t="s">
        <v>67</v>
      </c>
      <c r="D66" s="1" t="s">
        <v>7</v>
      </c>
      <c r="E66" s="1">
        <v>13</v>
      </c>
      <c r="F66" s="3">
        <v>80000</v>
      </c>
      <c r="G66" s="3">
        <f t="shared" si="0"/>
        <v>1040000</v>
      </c>
      <c r="H66" s="8">
        <f t="shared" si="1"/>
        <v>100000</v>
      </c>
    </row>
    <row r="67" spans="1:8" x14ac:dyDescent="0.3">
      <c r="A67" s="2">
        <v>46150</v>
      </c>
      <c r="B67" s="1" t="s">
        <v>144</v>
      </c>
      <c r="C67" s="1" t="s">
        <v>66</v>
      </c>
      <c r="D67" s="1" t="s">
        <v>7</v>
      </c>
      <c r="E67" s="1">
        <v>9</v>
      </c>
      <c r="F67" s="3">
        <v>80000</v>
      </c>
      <c r="G67" s="3">
        <f t="shared" ref="G67:G71" si="2">+E67*F67</f>
        <v>720000</v>
      </c>
      <c r="H67" s="8">
        <f t="shared" ref="H67:H81" si="3">+F67+20000</f>
        <v>100000</v>
      </c>
    </row>
    <row r="68" spans="1:8" x14ac:dyDescent="0.3">
      <c r="A68" s="2">
        <v>46150</v>
      </c>
      <c r="B68" s="1" t="s">
        <v>145</v>
      </c>
      <c r="C68" s="1" t="s">
        <v>32</v>
      </c>
      <c r="D68" s="1" t="s">
        <v>7</v>
      </c>
      <c r="E68" s="1">
        <v>7</v>
      </c>
      <c r="F68" s="3">
        <v>80000</v>
      </c>
      <c r="G68" s="3">
        <f t="shared" si="2"/>
        <v>560000</v>
      </c>
      <c r="H68" s="8">
        <f t="shared" si="3"/>
        <v>100000</v>
      </c>
    </row>
    <row r="69" spans="1:8" x14ac:dyDescent="0.3">
      <c r="A69" s="2">
        <v>46150</v>
      </c>
      <c r="B69" s="1" t="s">
        <v>146</v>
      </c>
      <c r="C69" s="1" t="s">
        <v>45</v>
      </c>
      <c r="D69" s="1" t="s">
        <v>7</v>
      </c>
      <c r="E69" s="1">
        <v>20</v>
      </c>
      <c r="F69" s="3">
        <v>85000</v>
      </c>
      <c r="G69" s="3">
        <f t="shared" si="2"/>
        <v>1700000</v>
      </c>
      <c r="H69" s="8">
        <f t="shared" si="3"/>
        <v>105000</v>
      </c>
    </row>
    <row r="70" spans="1:8" x14ac:dyDescent="0.3">
      <c r="A70" s="2">
        <v>46150</v>
      </c>
      <c r="B70" s="1" t="s">
        <v>147</v>
      </c>
      <c r="C70" s="1" t="s">
        <v>49</v>
      </c>
      <c r="D70" s="1" t="s">
        <v>7</v>
      </c>
      <c r="E70" s="1">
        <v>19</v>
      </c>
      <c r="F70" s="3">
        <v>85000</v>
      </c>
      <c r="G70" s="3">
        <f t="shared" si="2"/>
        <v>1615000</v>
      </c>
      <c r="H70" s="8">
        <f t="shared" si="3"/>
        <v>105000</v>
      </c>
    </row>
    <row r="71" spans="1:8" x14ac:dyDescent="0.3">
      <c r="A71" s="2">
        <v>46150</v>
      </c>
      <c r="B71" s="1" t="s">
        <v>148</v>
      </c>
      <c r="C71" s="1" t="s">
        <v>63</v>
      </c>
      <c r="D71" s="1" t="s">
        <v>7</v>
      </c>
      <c r="E71" s="1">
        <v>12</v>
      </c>
      <c r="F71" s="3">
        <v>85000</v>
      </c>
      <c r="G71" s="3">
        <f t="shared" si="2"/>
        <v>1020000</v>
      </c>
      <c r="H71" s="8">
        <f t="shared" si="3"/>
        <v>105000</v>
      </c>
    </row>
    <row r="72" spans="1:8" x14ac:dyDescent="0.3">
      <c r="A72" s="2">
        <v>46163</v>
      </c>
      <c r="B72" s="1" t="s">
        <v>149</v>
      </c>
      <c r="C72" s="1" t="s">
        <v>151</v>
      </c>
      <c r="D72" s="1" t="s">
        <v>7</v>
      </c>
      <c r="E72" s="1">
        <v>24</v>
      </c>
      <c r="F72" s="3">
        <v>85000</v>
      </c>
      <c r="G72" s="3">
        <f t="shared" ref="G72:G81" si="4">+E72*F72</f>
        <v>2040000</v>
      </c>
      <c r="H72" s="8">
        <f t="shared" si="3"/>
        <v>105000</v>
      </c>
    </row>
    <row r="73" spans="1:8" x14ac:dyDescent="0.3">
      <c r="A73" s="2">
        <v>46163</v>
      </c>
      <c r="B73" s="1" t="s">
        <v>150</v>
      </c>
      <c r="C73" s="1" t="s">
        <v>152</v>
      </c>
      <c r="D73" s="1" t="s">
        <v>7</v>
      </c>
      <c r="E73" s="1">
        <v>24</v>
      </c>
      <c r="F73" s="3">
        <v>85000</v>
      </c>
      <c r="G73" s="3">
        <f t="shared" si="4"/>
        <v>2040000</v>
      </c>
      <c r="H73" s="8">
        <f t="shared" si="3"/>
        <v>105000</v>
      </c>
    </row>
    <row r="74" spans="1:8" x14ac:dyDescent="0.3">
      <c r="A74" s="2">
        <v>46186</v>
      </c>
      <c r="B74" s="1" t="s">
        <v>156</v>
      </c>
      <c r="C74" s="1" t="s">
        <v>161</v>
      </c>
      <c r="D74" s="1" t="s">
        <v>7</v>
      </c>
      <c r="E74" s="1">
        <v>24</v>
      </c>
      <c r="F74" s="3">
        <v>90000</v>
      </c>
      <c r="G74" s="3">
        <f t="shared" si="4"/>
        <v>2160000</v>
      </c>
      <c r="H74" s="8">
        <f t="shared" si="3"/>
        <v>110000</v>
      </c>
    </row>
    <row r="75" spans="1:8" x14ac:dyDescent="0.3">
      <c r="A75" s="2">
        <v>46186</v>
      </c>
      <c r="B75" s="1" t="s">
        <v>157</v>
      </c>
      <c r="C75" s="1" t="s">
        <v>162</v>
      </c>
      <c r="D75" s="1" t="s">
        <v>7</v>
      </c>
      <c r="E75" s="1">
        <v>24</v>
      </c>
      <c r="F75" s="3">
        <v>90000</v>
      </c>
      <c r="G75" s="3">
        <f t="shared" si="4"/>
        <v>2160000</v>
      </c>
      <c r="H75" s="8">
        <f t="shared" si="3"/>
        <v>110000</v>
      </c>
    </row>
    <row r="76" spans="1:8" x14ac:dyDescent="0.3">
      <c r="A76" s="2">
        <v>46186</v>
      </c>
      <c r="B76" s="1" t="s">
        <v>158</v>
      </c>
      <c r="C76" s="1" t="s">
        <v>168</v>
      </c>
      <c r="D76" s="1" t="s">
        <v>7</v>
      </c>
      <c r="E76" s="1">
        <v>24</v>
      </c>
      <c r="F76" s="3">
        <v>90000</v>
      </c>
      <c r="G76" s="3">
        <f t="shared" si="4"/>
        <v>2160000</v>
      </c>
      <c r="H76" s="8">
        <f t="shared" si="3"/>
        <v>110000</v>
      </c>
    </row>
    <row r="77" spans="1:8" x14ac:dyDescent="0.3">
      <c r="A77" s="2">
        <v>46193</v>
      </c>
      <c r="B77" s="1" t="s">
        <v>163</v>
      </c>
      <c r="C77" s="1" t="s">
        <v>169</v>
      </c>
      <c r="D77" s="1" t="s">
        <v>7</v>
      </c>
      <c r="E77" s="1">
        <v>23</v>
      </c>
      <c r="F77" s="3">
        <v>80000</v>
      </c>
      <c r="G77" s="3">
        <f t="shared" si="4"/>
        <v>1840000</v>
      </c>
      <c r="H77" s="8">
        <f t="shared" si="3"/>
        <v>100000</v>
      </c>
    </row>
    <row r="78" spans="1:8" x14ac:dyDescent="0.3">
      <c r="A78" s="2">
        <v>46193</v>
      </c>
      <c r="B78" s="1" t="s">
        <v>164</v>
      </c>
      <c r="C78" s="1" t="s">
        <v>171</v>
      </c>
      <c r="D78" s="1" t="s">
        <v>7</v>
      </c>
      <c r="E78" s="1">
        <v>23</v>
      </c>
      <c r="F78" s="3">
        <v>80000</v>
      </c>
      <c r="G78" s="3">
        <f t="shared" si="4"/>
        <v>1840000</v>
      </c>
      <c r="H78" s="8">
        <f t="shared" si="3"/>
        <v>100000</v>
      </c>
    </row>
    <row r="79" spans="1:8" x14ac:dyDescent="0.3">
      <c r="A79" s="2">
        <v>46193</v>
      </c>
      <c r="B79" s="1" t="s">
        <v>165</v>
      </c>
      <c r="C79" s="1" t="s">
        <v>170</v>
      </c>
      <c r="D79" s="1" t="s">
        <v>7</v>
      </c>
      <c r="E79" s="1">
        <v>22</v>
      </c>
      <c r="F79" s="3">
        <v>80000</v>
      </c>
      <c r="G79" s="3">
        <f t="shared" si="4"/>
        <v>1760000</v>
      </c>
      <c r="H79" s="8">
        <f t="shared" si="3"/>
        <v>100000</v>
      </c>
    </row>
    <row r="80" spans="1:8" x14ac:dyDescent="0.3">
      <c r="A80" s="2">
        <v>46198</v>
      </c>
      <c r="B80" s="1" t="s">
        <v>166</v>
      </c>
      <c r="C80" s="1" t="s">
        <v>172</v>
      </c>
      <c r="D80" s="1" t="s">
        <v>7</v>
      </c>
      <c r="E80" s="1">
        <v>48</v>
      </c>
      <c r="F80" s="3">
        <v>95000</v>
      </c>
      <c r="G80" s="3">
        <f t="shared" si="4"/>
        <v>4560000</v>
      </c>
      <c r="H80" s="8">
        <f t="shared" si="3"/>
        <v>115000</v>
      </c>
    </row>
    <row r="81" spans="1:8" x14ac:dyDescent="0.3">
      <c r="A81" s="2">
        <v>46150</v>
      </c>
      <c r="B81" s="1" t="s">
        <v>167</v>
      </c>
      <c r="C81" s="1" t="s">
        <v>173</v>
      </c>
      <c r="D81" s="1" t="s">
        <v>7</v>
      </c>
      <c r="E81" s="1">
        <v>3</v>
      </c>
      <c r="F81" s="3">
        <v>80000</v>
      </c>
      <c r="G81" s="3">
        <f t="shared" si="4"/>
        <v>240000</v>
      </c>
      <c r="H81" s="8">
        <f t="shared" si="3"/>
        <v>100000</v>
      </c>
    </row>
    <row r="82" spans="1:8" x14ac:dyDescent="0.3">
      <c r="H82" s="8"/>
    </row>
    <row r="83" spans="1:8" x14ac:dyDescent="0.3">
      <c r="H83" s="8"/>
    </row>
    <row r="84" spans="1:8" x14ac:dyDescent="0.3">
      <c r="H84" s="8"/>
    </row>
    <row r="85" spans="1:8" x14ac:dyDescent="0.3">
      <c r="H85" s="8"/>
    </row>
    <row r="86" spans="1:8" x14ac:dyDescent="0.3">
      <c r="H86" s="8"/>
    </row>
    <row r="87" spans="1:8" x14ac:dyDescent="0.3">
      <c r="H87" s="8"/>
    </row>
    <row r="88" spans="1:8" x14ac:dyDescent="0.3">
      <c r="H88" s="8"/>
    </row>
    <row r="89" spans="1:8" x14ac:dyDescent="0.3">
      <c r="H89" s="8"/>
    </row>
    <row r="90" spans="1:8" x14ac:dyDescent="0.3">
      <c r="H90" s="8"/>
    </row>
    <row r="91" spans="1:8" x14ac:dyDescent="0.3">
      <c r="H91" s="8"/>
    </row>
    <row r="92" spans="1:8" x14ac:dyDescent="0.3">
      <c r="H92" s="8"/>
    </row>
    <row r="93" spans="1:8" x14ac:dyDescent="0.3">
      <c r="H93" s="8"/>
    </row>
    <row r="94" spans="1:8" x14ac:dyDescent="0.3">
      <c r="H94" s="8"/>
    </row>
    <row r="95" spans="1:8" x14ac:dyDescent="0.3">
      <c r="H95" s="8"/>
    </row>
    <row r="96" spans="1:8" x14ac:dyDescent="0.3">
      <c r="H96" s="8"/>
    </row>
    <row r="97" spans="8:8" x14ac:dyDescent="0.3">
      <c r="H97" s="8"/>
    </row>
    <row r="98" spans="8:8" x14ac:dyDescent="0.3">
      <c r="H98" s="8"/>
    </row>
    <row r="99" spans="8:8" x14ac:dyDescent="0.3">
      <c r="H99" s="8"/>
    </row>
    <row r="100" spans="8:8" x14ac:dyDescent="0.3">
      <c r="H100" s="8"/>
    </row>
    <row r="101" spans="8:8" x14ac:dyDescent="0.3">
      <c r="H101" s="8"/>
    </row>
    <row r="102" spans="8:8" x14ac:dyDescent="0.3">
      <c r="H102" s="8"/>
    </row>
    <row r="103" spans="8:8" x14ac:dyDescent="0.3">
      <c r="H103" s="8"/>
    </row>
    <row r="104" spans="8:8" x14ac:dyDescent="0.3">
      <c r="H104" s="8"/>
    </row>
    <row r="105" spans="8:8" x14ac:dyDescent="0.3">
      <c r="H105" s="8"/>
    </row>
    <row r="106" spans="8:8" x14ac:dyDescent="0.3">
      <c r="H106" s="8"/>
    </row>
    <row r="107" spans="8:8" x14ac:dyDescent="0.3">
      <c r="H107" s="8"/>
    </row>
    <row r="108" spans="8:8" x14ac:dyDescent="0.3">
      <c r="H108" s="8"/>
    </row>
    <row r="109" spans="8:8" x14ac:dyDescent="0.3">
      <c r="H109" s="8"/>
    </row>
    <row r="110" spans="8:8" x14ac:dyDescent="0.3">
      <c r="H110" s="8"/>
    </row>
    <row r="111" spans="8:8" x14ac:dyDescent="0.3">
      <c r="H111" s="8"/>
    </row>
    <row r="112" spans="8:8" x14ac:dyDescent="0.3">
      <c r="H112" s="8"/>
    </row>
    <row r="113" spans="8:8" x14ac:dyDescent="0.3">
      <c r="H113" s="8"/>
    </row>
    <row r="114" spans="8:8" x14ac:dyDescent="0.3">
      <c r="H114" s="8"/>
    </row>
    <row r="115" spans="8:8" x14ac:dyDescent="0.3">
      <c r="H115" s="8"/>
    </row>
    <row r="116" spans="8:8" x14ac:dyDescent="0.3">
      <c r="H116" s="8"/>
    </row>
    <row r="117" spans="8:8" x14ac:dyDescent="0.3">
      <c r="H117" s="8"/>
    </row>
    <row r="118" spans="8:8" x14ac:dyDescent="0.3">
      <c r="H118" s="8"/>
    </row>
    <row r="119" spans="8:8" x14ac:dyDescent="0.3">
      <c r="H119" s="8"/>
    </row>
    <row r="120" spans="8:8" x14ac:dyDescent="0.3">
      <c r="H120" s="8"/>
    </row>
    <row r="121" spans="8:8" x14ac:dyDescent="0.3">
      <c r="H121" s="8"/>
    </row>
    <row r="122" spans="8:8" x14ac:dyDescent="0.3">
      <c r="H122" s="8"/>
    </row>
    <row r="123" spans="8:8" x14ac:dyDescent="0.3">
      <c r="H123" s="8"/>
    </row>
    <row r="124" spans="8:8" x14ac:dyDescent="0.3">
      <c r="H124" s="8"/>
    </row>
    <row r="125" spans="8:8" x14ac:dyDescent="0.3">
      <c r="H125" s="8"/>
    </row>
    <row r="126" spans="8:8" x14ac:dyDescent="0.3">
      <c r="H126" s="8"/>
    </row>
    <row r="127" spans="8:8" x14ac:dyDescent="0.3">
      <c r="H127" s="8"/>
    </row>
    <row r="128" spans="8:8" x14ac:dyDescent="0.3">
      <c r="H128" s="8"/>
    </row>
    <row r="129" spans="8:8" x14ac:dyDescent="0.3">
      <c r="H129" s="8"/>
    </row>
    <row r="130" spans="8:8" x14ac:dyDescent="0.3">
      <c r="H130" s="8"/>
    </row>
    <row r="131" spans="8:8" x14ac:dyDescent="0.3">
      <c r="H131" s="8"/>
    </row>
    <row r="132" spans="8:8" x14ac:dyDescent="0.3">
      <c r="H132" s="8"/>
    </row>
    <row r="133" spans="8:8" x14ac:dyDescent="0.3">
      <c r="H133" s="8"/>
    </row>
    <row r="134" spans="8:8" x14ac:dyDescent="0.3">
      <c r="H134" s="8"/>
    </row>
    <row r="135" spans="8:8" x14ac:dyDescent="0.3">
      <c r="H135" s="8"/>
    </row>
    <row r="136" spans="8:8" x14ac:dyDescent="0.3">
      <c r="H136" s="8"/>
    </row>
    <row r="137" spans="8:8" x14ac:dyDescent="0.3">
      <c r="H137" s="8"/>
    </row>
    <row r="138" spans="8:8" x14ac:dyDescent="0.3">
      <c r="H138" s="8"/>
    </row>
    <row r="139" spans="8:8" x14ac:dyDescent="0.3">
      <c r="H139" s="8"/>
    </row>
    <row r="140" spans="8:8" x14ac:dyDescent="0.3">
      <c r="H140" s="8"/>
    </row>
    <row r="141" spans="8:8" x14ac:dyDescent="0.3">
      <c r="H141" s="8"/>
    </row>
    <row r="142" spans="8:8" x14ac:dyDescent="0.3">
      <c r="H142" s="8"/>
    </row>
    <row r="143" spans="8:8" x14ac:dyDescent="0.3">
      <c r="H143" s="8"/>
    </row>
    <row r="144" spans="8:8" x14ac:dyDescent="0.3">
      <c r="H144" s="8"/>
    </row>
    <row r="145" spans="8:8" x14ac:dyDescent="0.3">
      <c r="H145" s="8"/>
    </row>
    <row r="146" spans="8:8" x14ac:dyDescent="0.3">
      <c r="H146" s="8"/>
    </row>
    <row r="147" spans="8:8" x14ac:dyDescent="0.3">
      <c r="H147" s="8"/>
    </row>
    <row r="148" spans="8:8" x14ac:dyDescent="0.3">
      <c r="H148" s="8"/>
    </row>
    <row r="149" spans="8:8" x14ac:dyDescent="0.3">
      <c r="H149" s="8"/>
    </row>
    <row r="150" spans="8:8" x14ac:dyDescent="0.3">
      <c r="H150" s="8"/>
    </row>
    <row r="151" spans="8:8" x14ac:dyDescent="0.3">
      <c r="H151" s="8"/>
    </row>
    <row r="152" spans="8:8" x14ac:dyDescent="0.3">
      <c r="H152" s="8"/>
    </row>
    <row r="153" spans="8:8" x14ac:dyDescent="0.3">
      <c r="H153" s="8"/>
    </row>
    <row r="154" spans="8:8" x14ac:dyDescent="0.3">
      <c r="H154" s="8"/>
    </row>
    <row r="155" spans="8:8" x14ac:dyDescent="0.3">
      <c r="H155" s="8"/>
    </row>
    <row r="156" spans="8:8" x14ac:dyDescent="0.3">
      <c r="H156" s="8"/>
    </row>
    <row r="157" spans="8:8" x14ac:dyDescent="0.3">
      <c r="H157" s="8"/>
    </row>
    <row r="158" spans="8:8" x14ac:dyDescent="0.3">
      <c r="H158" s="8"/>
    </row>
    <row r="159" spans="8:8" x14ac:dyDescent="0.3">
      <c r="H159" s="8"/>
    </row>
    <row r="160" spans="8:8" x14ac:dyDescent="0.3">
      <c r="H160" s="8"/>
    </row>
    <row r="161" spans="8:8" x14ac:dyDescent="0.3">
      <c r="H161" s="8"/>
    </row>
    <row r="162" spans="8:8" x14ac:dyDescent="0.3">
      <c r="H162" s="8"/>
    </row>
    <row r="163" spans="8:8" x14ac:dyDescent="0.3">
      <c r="H163" s="8"/>
    </row>
    <row r="164" spans="8:8" x14ac:dyDescent="0.3">
      <c r="H164" s="8"/>
    </row>
    <row r="165" spans="8:8" x14ac:dyDescent="0.3">
      <c r="H165" s="8"/>
    </row>
    <row r="166" spans="8:8" x14ac:dyDescent="0.3">
      <c r="H166" s="8"/>
    </row>
    <row r="167" spans="8:8" x14ac:dyDescent="0.3">
      <c r="H167" s="8"/>
    </row>
    <row r="168" spans="8:8" x14ac:dyDescent="0.3">
      <c r="H168" s="8"/>
    </row>
    <row r="169" spans="8:8" x14ac:dyDescent="0.3">
      <c r="H169" s="8"/>
    </row>
    <row r="170" spans="8:8" x14ac:dyDescent="0.3">
      <c r="H170" s="8"/>
    </row>
    <row r="171" spans="8:8" x14ac:dyDescent="0.3">
      <c r="H171" s="8"/>
    </row>
    <row r="172" spans="8:8" x14ac:dyDescent="0.3">
      <c r="H172" s="8"/>
    </row>
    <row r="173" spans="8:8" x14ac:dyDescent="0.3">
      <c r="H173" s="8"/>
    </row>
    <row r="174" spans="8:8" x14ac:dyDescent="0.3">
      <c r="H174" s="8"/>
    </row>
    <row r="175" spans="8:8" x14ac:dyDescent="0.3">
      <c r="H175" s="8"/>
    </row>
    <row r="176" spans="8:8" x14ac:dyDescent="0.3">
      <c r="H176" s="8"/>
    </row>
    <row r="177" spans="8:8" x14ac:dyDescent="0.3">
      <c r="H177" s="8"/>
    </row>
    <row r="178" spans="8:8" x14ac:dyDescent="0.3">
      <c r="H178" s="8"/>
    </row>
    <row r="179" spans="8:8" x14ac:dyDescent="0.3">
      <c r="H179" s="8"/>
    </row>
    <row r="180" spans="8:8" x14ac:dyDescent="0.3">
      <c r="H180" s="8"/>
    </row>
    <row r="181" spans="8:8" x14ac:dyDescent="0.3">
      <c r="H181" s="8"/>
    </row>
    <row r="182" spans="8:8" x14ac:dyDescent="0.3">
      <c r="H182" s="8"/>
    </row>
    <row r="183" spans="8:8" x14ac:dyDescent="0.3">
      <c r="H183" s="8"/>
    </row>
    <row r="184" spans="8:8" x14ac:dyDescent="0.3">
      <c r="H184" s="8"/>
    </row>
    <row r="185" spans="8:8" x14ac:dyDescent="0.3">
      <c r="H185" s="8"/>
    </row>
    <row r="186" spans="8:8" x14ac:dyDescent="0.3">
      <c r="H186" s="8"/>
    </row>
    <row r="187" spans="8:8" x14ac:dyDescent="0.3">
      <c r="H187" s="8"/>
    </row>
    <row r="188" spans="8:8" x14ac:dyDescent="0.3">
      <c r="H188" s="8"/>
    </row>
    <row r="189" spans="8:8" x14ac:dyDescent="0.3">
      <c r="H189" s="8"/>
    </row>
    <row r="190" spans="8:8" x14ac:dyDescent="0.3">
      <c r="H190" s="8"/>
    </row>
    <row r="191" spans="8:8" x14ac:dyDescent="0.3">
      <c r="H191" s="8"/>
    </row>
    <row r="192" spans="8:8" x14ac:dyDescent="0.3">
      <c r="H192" s="8"/>
    </row>
    <row r="193" spans="8:8" x14ac:dyDescent="0.3">
      <c r="H193" s="8"/>
    </row>
    <row r="194" spans="8:8" x14ac:dyDescent="0.3">
      <c r="H194" s="8"/>
    </row>
    <row r="195" spans="8:8" x14ac:dyDescent="0.3">
      <c r="H195" s="8"/>
    </row>
    <row r="196" spans="8:8" x14ac:dyDescent="0.3">
      <c r="H196" s="8"/>
    </row>
    <row r="197" spans="8:8" x14ac:dyDescent="0.3">
      <c r="H197" s="8"/>
    </row>
    <row r="198" spans="8:8" x14ac:dyDescent="0.3">
      <c r="H198" s="8"/>
    </row>
    <row r="199" spans="8:8" x14ac:dyDescent="0.3">
      <c r="H199" s="8"/>
    </row>
    <row r="200" spans="8:8" x14ac:dyDescent="0.3">
      <c r="H200" s="8"/>
    </row>
    <row r="201" spans="8:8" x14ac:dyDescent="0.3">
      <c r="H201" s="8"/>
    </row>
    <row r="202" spans="8:8" x14ac:dyDescent="0.3">
      <c r="H202" s="8"/>
    </row>
    <row r="203" spans="8:8" x14ac:dyDescent="0.3">
      <c r="H203" s="8"/>
    </row>
    <row r="204" spans="8:8" x14ac:dyDescent="0.3">
      <c r="H204" s="8"/>
    </row>
    <row r="205" spans="8:8" x14ac:dyDescent="0.3">
      <c r="H205" s="8"/>
    </row>
    <row r="206" spans="8:8" x14ac:dyDescent="0.3">
      <c r="H206" s="8"/>
    </row>
    <row r="207" spans="8:8" x14ac:dyDescent="0.3">
      <c r="H207" s="8"/>
    </row>
    <row r="208" spans="8:8" x14ac:dyDescent="0.3">
      <c r="H208" s="8"/>
    </row>
    <row r="209" spans="8:8" x14ac:dyDescent="0.3">
      <c r="H209" s="8"/>
    </row>
    <row r="210" spans="8:8" x14ac:dyDescent="0.3">
      <c r="H210" s="8"/>
    </row>
    <row r="211" spans="8:8" x14ac:dyDescent="0.3">
      <c r="H211" s="8"/>
    </row>
    <row r="212" spans="8:8" x14ac:dyDescent="0.3">
      <c r="H212" s="8"/>
    </row>
    <row r="213" spans="8:8" x14ac:dyDescent="0.3">
      <c r="H213" s="8"/>
    </row>
    <row r="214" spans="8:8" x14ac:dyDescent="0.3">
      <c r="H214" s="8"/>
    </row>
    <row r="215" spans="8:8" x14ac:dyDescent="0.3">
      <c r="H215" s="8"/>
    </row>
    <row r="216" spans="8:8" x14ac:dyDescent="0.3">
      <c r="H216" s="8"/>
    </row>
    <row r="217" spans="8:8" x14ac:dyDescent="0.3">
      <c r="H217" s="8"/>
    </row>
    <row r="218" spans="8:8" x14ac:dyDescent="0.3">
      <c r="H218" s="8"/>
    </row>
    <row r="219" spans="8:8" x14ac:dyDescent="0.3">
      <c r="H219" s="8"/>
    </row>
    <row r="220" spans="8:8" x14ac:dyDescent="0.3">
      <c r="H220" s="8"/>
    </row>
    <row r="221" spans="8:8" x14ac:dyDescent="0.3">
      <c r="H221" s="8"/>
    </row>
    <row r="222" spans="8:8" x14ac:dyDescent="0.3">
      <c r="H222" s="8"/>
    </row>
    <row r="223" spans="8:8" x14ac:dyDescent="0.3">
      <c r="H223" s="8"/>
    </row>
    <row r="224" spans="8:8" x14ac:dyDescent="0.3">
      <c r="H224" s="8"/>
    </row>
    <row r="225" spans="8:8" x14ac:dyDescent="0.3">
      <c r="H225" s="8"/>
    </row>
    <row r="226" spans="8:8" x14ac:dyDescent="0.3">
      <c r="H226" s="8"/>
    </row>
    <row r="227" spans="8:8" x14ac:dyDescent="0.3">
      <c r="H227" s="8"/>
    </row>
    <row r="228" spans="8:8" x14ac:dyDescent="0.3">
      <c r="H228" s="8"/>
    </row>
    <row r="229" spans="8:8" x14ac:dyDescent="0.3">
      <c r="H229" s="8"/>
    </row>
    <row r="230" spans="8:8" x14ac:dyDescent="0.3">
      <c r="H230" s="8"/>
    </row>
    <row r="231" spans="8:8" x14ac:dyDescent="0.3">
      <c r="H231" s="8"/>
    </row>
    <row r="232" spans="8:8" x14ac:dyDescent="0.3">
      <c r="H232" s="8"/>
    </row>
    <row r="233" spans="8:8" x14ac:dyDescent="0.3">
      <c r="H233" s="8"/>
    </row>
    <row r="234" spans="8:8" x14ac:dyDescent="0.3">
      <c r="H234" s="8"/>
    </row>
    <row r="235" spans="8:8" x14ac:dyDescent="0.3">
      <c r="H235" s="8"/>
    </row>
    <row r="236" spans="8:8" x14ac:dyDescent="0.3">
      <c r="H236" s="8"/>
    </row>
    <row r="237" spans="8:8" x14ac:dyDescent="0.3">
      <c r="H237" s="8"/>
    </row>
    <row r="238" spans="8:8" x14ac:dyDescent="0.3">
      <c r="H238" s="8"/>
    </row>
    <row r="239" spans="8:8" x14ac:dyDescent="0.3">
      <c r="H239" s="8"/>
    </row>
    <row r="240" spans="8:8" x14ac:dyDescent="0.3">
      <c r="H240" s="8"/>
    </row>
  </sheetData>
  <phoneticPr fontId="3" type="noConversion"/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471C-B9E8-4EDB-AE4F-1522F636CA48}">
  <dimension ref="A1:J81"/>
  <sheetViews>
    <sheetView tabSelected="1" workbookViewId="0">
      <pane ySplit="1" topLeftCell="A2" activePane="bottomLeft" state="frozen"/>
      <selection pane="bottomLeft" activeCell="A78" sqref="A78"/>
    </sheetView>
  </sheetViews>
  <sheetFormatPr baseColWidth="10" defaultRowHeight="14.4" x14ac:dyDescent="0.3"/>
  <cols>
    <col min="1" max="1" width="13.21875" style="1" bestFit="1" customWidth="1"/>
    <col min="2" max="2" width="38.88671875" style="1" bestFit="1" customWidth="1"/>
    <col min="3" max="3" width="15.88671875" style="1" bestFit="1" customWidth="1"/>
    <col min="4" max="4" width="12.77734375" style="1" bestFit="1" customWidth="1"/>
    <col min="5" max="5" width="15.33203125" style="1" bestFit="1" customWidth="1"/>
    <col min="6" max="6" width="19.21875" style="3" bestFit="1" customWidth="1"/>
    <col min="7" max="7" width="17.5546875" style="1" bestFit="1" customWidth="1"/>
    <col min="8" max="8" width="4.44140625" style="1" customWidth="1"/>
    <col min="9" max="9" width="23" style="1" bestFit="1" customWidth="1"/>
    <col min="10" max="10" width="16.88671875" style="1" bestFit="1" customWidth="1"/>
    <col min="11" max="16384" width="11.5546875" style="1"/>
  </cols>
  <sheetData>
    <row r="1" spans="1:10" s="5" customFormat="1" ht="15.6" x14ac:dyDescent="0.3">
      <c r="A1" s="5" t="s">
        <v>4</v>
      </c>
      <c r="B1" s="5" t="s">
        <v>1</v>
      </c>
      <c r="C1" s="5" t="s">
        <v>8</v>
      </c>
      <c r="D1" s="5" t="s">
        <v>9</v>
      </c>
      <c r="E1" s="5" t="s">
        <v>2</v>
      </c>
      <c r="F1" s="6" t="s">
        <v>3</v>
      </c>
      <c r="G1" s="5" t="s">
        <v>153</v>
      </c>
    </row>
    <row r="2" spans="1:10" ht="15.6" x14ac:dyDescent="0.3">
      <c r="A2" s="1" t="s">
        <v>5</v>
      </c>
      <c r="B2" s="1" t="str">
        <f>+VLOOKUP(A2,ENTRADAS!$B:$G,2,FALSE)</f>
        <v>ADIDAS ADISTAR NEGRO BLANCO</v>
      </c>
      <c r="C2" s="1">
        <f>+SUMIF(ENTRADAS!B:B,A2,ENTRADAS!E:E)</f>
        <v>11</v>
      </c>
      <c r="D2" s="1">
        <f>+SUMIF(VENTAS!C:C,INVENTARIO!A2,VENTAS!B:B)</f>
        <v>2</v>
      </c>
      <c r="E2" s="1">
        <f>+C2-D2</f>
        <v>9</v>
      </c>
      <c r="F2" s="3">
        <f t="shared" ref="F2:F33" si="0">+VLOOKUP(A2,ENTRADAS,5,0)</f>
        <v>85000</v>
      </c>
      <c r="G2" s="8">
        <f>+E2*F2</f>
        <v>765000</v>
      </c>
      <c r="I2" s="5" t="s">
        <v>159</v>
      </c>
      <c r="J2" s="6">
        <f>+SUM(G:G)</f>
        <v>79079000</v>
      </c>
    </row>
    <row r="3" spans="1:10" ht="15.6" x14ac:dyDescent="0.3">
      <c r="A3" s="1" t="s">
        <v>10</v>
      </c>
      <c r="B3" s="1" t="str">
        <f>+VLOOKUP(A3,ENTRADAS!$B:$G,2,FALSE)</f>
        <v>ADIDAS ADIZERO SL CAFÉ AZUL</v>
      </c>
      <c r="C3" s="1">
        <f>+SUMIF(ENTRADAS!B:B,A3,ENTRADAS!E:E)</f>
        <v>11</v>
      </c>
      <c r="D3" s="1">
        <f>+SUMIF(VENTAS!C:C,INVENTARIO!A3,VENTAS!B:B)</f>
        <v>3</v>
      </c>
      <c r="E3" s="1">
        <f>+C3-D3</f>
        <v>8</v>
      </c>
      <c r="F3" s="3">
        <f t="shared" si="0"/>
        <v>85000</v>
      </c>
      <c r="G3" s="8">
        <f t="shared" ref="G3:G66" si="1">+E3*F3</f>
        <v>680000</v>
      </c>
      <c r="I3" s="5" t="s">
        <v>160</v>
      </c>
      <c r="J3" s="9">
        <f>+SUM(E:E)</f>
        <v>912</v>
      </c>
    </row>
    <row r="4" spans="1:10" x14ac:dyDescent="0.3">
      <c r="A4" s="1" t="s">
        <v>11</v>
      </c>
      <c r="B4" s="1" t="str">
        <f>+VLOOKUP(A4,ENTRADAS!$B:$G,2,FALSE)</f>
        <v>ADIDAS BOUNCE GRIS</v>
      </c>
      <c r="C4" s="1">
        <f>+SUMIF(ENTRADAS!B:B,A4,ENTRADAS!E:E)</f>
        <v>12</v>
      </c>
      <c r="D4" s="1">
        <f>+SUMIF(VENTAS!C:C,INVENTARIO!A4,VENTAS!B:B)</f>
        <v>1</v>
      </c>
      <c r="E4" s="1">
        <f t="shared" ref="E4:E67" si="2">+C4-D4</f>
        <v>11</v>
      </c>
      <c r="F4" s="3">
        <f t="shared" si="0"/>
        <v>80000</v>
      </c>
      <c r="G4" s="8">
        <f t="shared" si="1"/>
        <v>880000</v>
      </c>
    </row>
    <row r="5" spans="1:10" x14ac:dyDescent="0.3">
      <c r="A5" s="1" t="s">
        <v>13</v>
      </c>
      <c r="B5" s="1" t="str">
        <f>+VLOOKUP(A5,ENTRADAS!$B:$G,2,FALSE)</f>
        <v>ADIDAS GAZELLE BEIGE VERDE</v>
      </c>
      <c r="C5" s="1">
        <f>+SUMIF(ENTRADAS!B:B,A5,ENTRADAS!E:E)</f>
        <v>5</v>
      </c>
      <c r="D5" s="1">
        <f>+SUMIF(VENTAS!C:C,INVENTARIO!A5,VENTAS!B:B)</f>
        <v>0</v>
      </c>
      <c r="E5" s="1">
        <f t="shared" si="2"/>
        <v>5</v>
      </c>
      <c r="F5" s="3">
        <f t="shared" si="0"/>
        <v>80000</v>
      </c>
      <c r="G5" s="8">
        <f t="shared" si="1"/>
        <v>400000</v>
      </c>
    </row>
    <row r="6" spans="1:10" x14ac:dyDescent="0.3">
      <c r="A6" s="1" t="s">
        <v>83</v>
      </c>
      <c r="B6" s="1" t="str">
        <f>+VLOOKUP(A6,ENTRADAS!$B:$G,2,FALSE)</f>
        <v>ADIDAS LED AZUL NEGRO</v>
      </c>
      <c r="C6" s="1">
        <f>+SUMIF(ENTRADAS!B:B,A6,ENTRADAS!E:E)</f>
        <v>13</v>
      </c>
      <c r="D6" s="1">
        <f>+SUMIF(VENTAS!C:C,INVENTARIO!A6,VENTAS!B:B)</f>
        <v>8</v>
      </c>
      <c r="E6" s="1">
        <f t="shared" si="2"/>
        <v>5</v>
      </c>
      <c r="F6" s="3">
        <f t="shared" si="0"/>
        <v>85000</v>
      </c>
      <c r="G6" s="8">
        <f t="shared" si="1"/>
        <v>425000</v>
      </c>
    </row>
    <row r="7" spans="1:10" x14ac:dyDescent="0.3">
      <c r="A7" s="1" t="s">
        <v>84</v>
      </c>
      <c r="B7" s="1" t="str">
        <f>+VLOOKUP(A7,ENTRADAS!$B:$G,2,FALSE)</f>
        <v>ADIDAS NAS TASE BLANCO AZUL</v>
      </c>
      <c r="C7" s="1">
        <f>+SUMIF(ENTRADAS!B:B,A7,ENTRADAS!E:E)</f>
        <v>23</v>
      </c>
      <c r="D7" s="1">
        <f>+SUMIF(VENTAS!C:C,INVENTARIO!A7,VENTAS!B:B)</f>
        <v>8</v>
      </c>
      <c r="E7" s="1">
        <f t="shared" si="2"/>
        <v>15</v>
      </c>
      <c r="F7" s="3">
        <f t="shared" si="0"/>
        <v>80000</v>
      </c>
      <c r="G7" s="8">
        <f t="shared" si="1"/>
        <v>1200000</v>
      </c>
    </row>
    <row r="8" spans="1:10" x14ac:dyDescent="0.3">
      <c r="A8" s="1" t="s">
        <v>85</v>
      </c>
      <c r="B8" s="1" t="str">
        <f>+VLOOKUP(A8,ENTRADAS!$B:$G,2,FALSE)</f>
        <v xml:space="preserve">ADIDAS PUREBOOST NEGRO BLANCO </v>
      </c>
      <c r="C8" s="1">
        <f>+SUMIF(ENTRADAS!B:B,A8,ENTRADAS!E:E)</f>
        <v>36</v>
      </c>
      <c r="D8" s="1">
        <f>+SUMIF(VENTAS!C:C,INVENTARIO!A8,VENTAS!B:B)</f>
        <v>7</v>
      </c>
      <c r="E8" s="1">
        <f t="shared" si="2"/>
        <v>29</v>
      </c>
      <c r="F8" s="3">
        <f t="shared" si="0"/>
        <v>85000</v>
      </c>
      <c r="G8" s="8">
        <f t="shared" si="1"/>
        <v>2465000</v>
      </c>
    </row>
    <row r="9" spans="1:10" x14ac:dyDescent="0.3">
      <c r="A9" s="1" t="s">
        <v>86</v>
      </c>
      <c r="B9" s="1" t="str">
        <f>+VLOOKUP(A9,ENTRADAS!$B:$G,2,FALSE)</f>
        <v>ADIDAS SAMBA BLANCA CLASICA</v>
      </c>
      <c r="C9" s="1">
        <f>+SUMIF(ENTRADAS!B:B,A9,ENTRADAS!E:E)</f>
        <v>23</v>
      </c>
      <c r="D9" s="1">
        <f>+SUMIF(VENTAS!C:C,INVENTARIO!A9,VENTAS!B:B)</f>
        <v>11</v>
      </c>
      <c r="E9" s="1">
        <f t="shared" si="2"/>
        <v>12</v>
      </c>
      <c r="F9" s="3">
        <f t="shared" si="0"/>
        <v>70000</v>
      </c>
      <c r="G9" s="8">
        <f t="shared" si="1"/>
        <v>840000</v>
      </c>
    </row>
    <row r="10" spans="1:10" x14ac:dyDescent="0.3">
      <c r="A10" s="1" t="s">
        <v>87</v>
      </c>
      <c r="B10" s="1" t="str">
        <f>+VLOOKUP(A10,ENTRADAS!$B:$G,2,FALSE)</f>
        <v>ADIDAS SAMBA CLASICA NEGRO</v>
      </c>
      <c r="C10" s="1">
        <f>+SUMIF(ENTRADAS!B:B,A10,ENTRADAS!E:E)</f>
        <v>22</v>
      </c>
      <c r="D10" s="1">
        <f>+SUMIF(VENTAS!C:C,INVENTARIO!A10,VENTAS!B:B)</f>
        <v>6</v>
      </c>
      <c r="E10" s="1">
        <f t="shared" si="2"/>
        <v>16</v>
      </c>
      <c r="F10" s="3">
        <f t="shared" si="0"/>
        <v>70000</v>
      </c>
      <c r="G10" s="8">
        <f t="shared" si="1"/>
        <v>1120000</v>
      </c>
    </row>
    <row r="11" spans="1:10" x14ac:dyDescent="0.3">
      <c r="A11" s="1" t="s">
        <v>88</v>
      </c>
      <c r="B11" s="1" t="str">
        <f>+VLOOKUP(A11,ENTRADAS!$B:$G,2,FALSE)</f>
        <v>ADIDAS SAMBA PLATAFORMA BLANCO VERDE</v>
      </c>
      <c r="C11" s="1">
        <f>+SUMIF(ENTRADAS!B:B,A11,ENTRADAS!E:E)</f>
        <v>9</v>
      </c>
      <c r="D11" s="1">
        <f>+SUMIF(VENTAS!C:C,INVENTARIO!A11,VENTAS!B:B)</f>
        <v>5</v>
      </c>
      <c r="E11" s="1">
        <f t="shared" si="2"/>
        <v>4</v>
      </c>
      <c r="F11" s="3">
        <f t="shared" si="0"/>
        <v>80000</v>
      </c>
      <c r="G11" s="8">
        <f t="shared" si="1"/>
        <v>320000</v>
      </c>
    </row>
    <row r="12" spans="1:10" x14ac:dyDescent="0.3">
      <c r="A12" s="1" t="s">
        <v>89</v>
      </c>
      <c r="B12" s="1" t="str">
        <f>+VLOOKUP(A12,ENTRADAS!$B:$G,2,FALSE)</f>
        <v>ADIDAS SPEZIAL VERDE ROSADO</v>
      </c>
      <c r="C12" s="1">
        <f>+SUMIF(ENTRADAS!B:B,A12,ENTRADAS!E:E)</f>
        <v>7</v>
      </c>
      <c r="D12" s="1">
        <f>+SUMIF(VENTAS!C:C,INVENTARIO!A12,VENTAS!B:B)</f>
        <v>3</v>
      </c>
      <c r="E12" s="1">
        <f t="shared" si="2"/>
        <v>4</v>
      </c>
      <c r="F12" s="3">
        <f t="shared" si="0"/>
        <v>80000</v>
      </c>
      <c r="G12" s="8">
        <f t="shared" si="1"/>
        <v>320000</v>
      </c>
    </row>
    <row r="13" spans="1:10" x14ac:dyDescent="0.3">
      <c r="A13" s="1" t="s">
        <v>90</v>
      </c>
      <c r="B13" s="1" t="str">
        <f>+VLOOKUP(A13,ENTRADAS!$B:$G,2,FALSE)</f>
        <v>ADIDAS SPEZIAL VINOTINTO</v>
      </c>
      <c r="C13" s="1">
        <f>+SUMIF(ENTRADAS!B:B,A13,ENTRADAS!E:E)</f>
        <v>10</v>
      </c>
      <c r="D13" s="1">
        <f>+SUMIF(VENTAS!C:C,INVENTARIO!A13,VENTAS!B:B)</f>
        <v>6</v>
      </c>
      <c r="E13" s="1">
        <f t="shared" si="2"/>
        <v>4</v>
      </c>
      <c r="F13" s="3">
        <f t="shared" si="0"/>
        <v>85000</v>
      </c>
      <c r="G13" s="8">
        <f t="shared" si="1"/>
        <v>340000</v>
      </c>
    </row>
    <row r="14" spans="1:10" x14ac:dyDescent="0.3">
      <c r="A14" s="1" t="s">
        <v>91</v>
      </c>
      <c r="B14" s="1" t="str">
        <f>+VLOOKUP(A14,ENTRADAS!$B:$G,2,FALSE)</f>
        <v>ADIDAS SUPER STAR ADICOLOR</v>
      </c>
      <c r="C14" s="1">
        <f>+SUMIF(ENTRADAS!B:B,A14,ENTRADAS!E:E)</f>
        <v>5</v>
      </c>
      <c r="D14" s="1">
        <f>+SUMIF(VENTAS!C:C,INVENTARIO!A14,VENTAS!B:B)</f>
        <v>0</v>
      </c>
      <c r="E14" s="1">
        <f t="shared" si="2"/>
        <v>5</v>
      </c>
      <c r="F14" s="3">
        <f t="shared" si="0"/>
        <v>80000</v>
      </c>
      <c r="G14" s="8">
        <f t="shared" si="1"/>
        <v>400000</v>
      </c>
    </row>
    <row r="15" spans="1:10" x14ac:dyDescent="0.3">
      <c r="A15" s="1" t="s">
        <v>92</v>
      </c>
      <c r="B15" s="1" t="str">
        <f>+VLOOKUP(A15,ENTRADAS!$B:$G,2,FALSE)</f>
        <v>ADIDAS SUPER STAR BLESSD</v>
      </c>
      <c r="C15" s="1">
        <f>+SUMIF(ENTRADAS!B:B,A15,ENTRADAS!E:E)</f>
        <v>5</v>
      </c>
      <c r="D15" s="1">
        <f>+SUMIF(VENTAS!C:C,INVENTARIO!A15,VENTAS!B:B)</f>
        <v>0</v>
      </c>
      <c r="E15" s="1">
        <f t="shared" si="2"/>
        <v>5</v>
      </c>
      <c r="F15" s="3">
        <f t="shared" si="0"/>
        <v>80000</v>
      </c>
      <c r="G15" s="8">
        <f t="shared" si="1"/>
        <v>400000</v>
      </c>
    </row>
    <row r="16" spans="1:10" x14ac:dyDescent="0.3">
      <c r="A16" s="1" t="s">
        <v>93</v>
      </c>
      <c r="B16" s="1" t="str">
        <f>+VLOOKUP(A16,ENTRADAS!$B:$G,2,FALSE)</f>
        <v>ADIDAS TERREX NEGRA</v>
      </c>
      <c r="C16" s="1">
        <f>+SUMIF(ENTRADAS!B:B,A16,ENTRADAS!E:E)</f>
        <v>17</v>
      </c>
      <c r="D16" s="1">
        <f>+SUMIF(VENTAS!C:C,INVENTARIO!A16,VENTAS!B:B)</f>
        <v>7</v>
      </c>
      <c r="E16" s="1">
        <f t="shared" si="2"/>
        <v>10</v>
      </c>
      <c r="F16" s="3">
        <f t="shared" si="0"/>
        <v>90000</v>
      </c>
      <c r="G16" s="8">
        <f t="shared" si="1"/>
        <v>900000</v>
      </c>
    </row>
    <row r="17" spans="1:7" x14ac:dyDescent="0.3">
      <c r="A17" s="1" t="s">
        <v>94</v>
      </c>
      <c r="B17" s="1" t="str">
        <f>+VLOOKUP(A17,ENTRADAS!$B:$G,2,FALSE)</f>
        <v>ADIDAS TERREX VERDE NARANJA</v>
      </c>
      <c r="C17" s="1">
        <f>+SUMIF(ENTRADAS!B:B,A17,ENTRADAS!E:E)</f>
        <v>7</v>
      </c>
      <c r="D17" s="1">
        <f>+SUMIF(VENTAS!C:C,INVENTARIO!A17,VENTAS!B:B)</f>
        <v>6</v>
      </c>
      <c r="E17" s="1">
        <f t="shared" si="2"/>
        <v>1</v>
      </c>
      <c r="F17" s="3">
        <f t="shared" si="0"/>
        <v>90000</v>
      </c>
      <c r="G17" s="8">
        <f t="shared" si="1"/>
        <v>90000</v>
      </c>
    </row>
    <row r="18" spans="1:7" x14ac:dyDescent="0.3">
      <c r="A18" s="1" t="s">
        <v>95</v>
      </c>
      <c r="B18" s="1" t="str">
        <f>+VLOOKUP(A18,ENTRADAS!$B:$G,2,FALSE)</f>
        <v>ADIDAS ZX AZUL BLANCO</v>
      </c>
      <c r="C18" s="1">
        <f>+SUMIF(ENTRADAS!B:B,A18,ENTRADAS!E:E)</f>
        <v>4</v>
      </c>
      <c r="D18" s="1">
        <f>+SUMIF(VENTAS!C:C,INVENTARIO!A18,VENTAS!B:B)</f>
        <v>2</v>
      </c>
      <c r="E18" s="1">
        <f t="shared" si="2"/>
        <v>2</v>
      </c>
      <c r="F18" s="3">
        <f t="shared" si="0"/>
        <v>80000</v>
      </c>
      <c r="G18" s="8">
        <f t="shared" si="1"/>
        <v>160000</v>
      </c>
    </row>
    <row r="19" spans="1:7" x14ac:dyDescent="0.3">
      <c r="A19" s="1" t="s">
        <v>96</v>
      </c>
      <c r="B19" s="1" t="str">
        <f>+VLOOKUP(A19,ENTRADAS!$B:$G,2,FALSE)</f>
        <v>ASICS  SKY VERDE NARANJA</v>
      </c>
      <c r="C19" s="1">
        <f>+SUMIF(ENTRADAS!B:B,A19,ENTRADAS!E:E)</f>
        <v>19</v>
      </c>
      <c r="D19" s="1">
        <f>+SUMIF(VENTAS!C:C,INVENTARIO!A19,VENTAS!B:B)</f>
        <v>2</v>
      </c>
      <c r="E19" s="1">
        <f t="shared" si="2"/>
        <v>17</v>
      </c>
      <c r="F19" s="3">
        <f t="shared" si="0"/>
        <v>100000</v>
      </c>
      <c r="G19" s="8">
        <f t="shared" si="1"/>
        <v>1700000</v>
      </c>
    </row>
    <row r="20" spans="1:7" x14ac:dyDescent="0.3">
      <c r="A20" s="1" t="s">
        <v>97</v>
      </c>
      <c r="B20" s="1" t="str">
        <f>+VLOOKUP(A20,ENTRADAS!$B:$G,2,FALSE)</f>
        <v>ASICS SKY BLANCO</v>
      </c>
      <c r="C20" s="1">
        <f>+SUMIF(ENTRADAS!B:B,A20,ENTRADAS!E:E)</f>
        <v>8</v>
      </c>
      <c r="D20" s="1">
        <f>+SUMIF(VENTAS!C:C,INVENTARIO!A20,VENTAS!B:B)</f>
        <v>2</v>
      </c>
      <c r="E20" s="1">
        <f t="shared" si="2"/>
        <v>6</v>
      </c>
      <c r="F20" s="3">
        <f t="shared" si="0"/>
        <v>100000</v>
      </c>
      <c r="G20" s="8">
        <f t="shared" si="1"/>
        <v>600000</v>
      </c>
    </row>
    <row r="21" spans="1:7" x14ac:dyDescent="0.3">
      <c r="A21" s="1" t="s">
        <v>98</v>
      </c>
      <c r="B21" s="1" t="str">
        <f>+VLOOKUP(A21,ENTRADAS!$B:$G,2,FALSE)</f>
        <v>CONVERSE LOW BLANCA</v>
      </c>
      <c r="C21" s="1">
        <f>+SUMIF(ENTRADAS!B:B,A21,ENTRADAS!E:E)</f>
        <v>6</v>
      </c>
      <c r="D21" s="1">
        <f>+SUMIF(VENTAS!C:C,INVENTARIO!A21,VENTAS!B:B)</f>
        <v>0</v>
      </c>
      <c r="E21" s="1">
        <f t="shared" si="2"/>
        <v>6</v>
      </c>
      <c r="F21" s="3">
        <f t="shared" si="0"/>
        <v>70000</v>
      </c>
      <c r="G21" s="8">
        <f t="shared" si="1"/>
        <v>420000</v>
      </c>
    </row>
    <row r="22" spans="1:7" x14ac:dyDescent="0.3">
      <c r="A22" s="1" t="s">
        <v>99</v>
      </c>
      <c r="B22" s="1" t="str">
        <f>+VLOOKUP(A22,ENTRADAS!$B:$G,2,FALSE)</f>
        <v xml:space="preserve">CONVERSE PLATAFORMA NEGRA </v>
      </c>
      <c r="C22" s="1">
        <f>+SUMIF(ENTRADAS!B:B,A22,ENTRADAS!E:E)</f>
        <v>2</v>
      </c>
      <c r="D22" s="1">
        <f>+SUMIF(VENTAS!C:C,INVENTARIO!A22,VENTAS!B:B)</f>
        <v>0</v>
      </c>
      <c r="E22" s="1">
        <f t="shared" si="2"/>
        <v>2</v>
      </c>
      <c r="F22" s="3">
        <f t="shared" si="0"/>
        <v>70000</v>
      </c>
      <c r="G22" s="8">
        <f t="shared" si="1"/>
        <v>140000</v>
      </c>
    </row>
    <row r="23" spans="1:7" x14ac:dyDescent="0.3">
      <c r="A23" s="1" t="s">
        <v>100</v>
      </c>
      <c r="B23" s="1" t="str">
        <f>+VLOOKUP(A23,ENTRADAS!$B:$G,2,FALSE)</f>
        <v>DIESEL NEGRO BLANCO</v>
      </c>
      <c r="C23" s="1">
        <f>+SUMIF(ENTRADAS!B:B,A23,ENTRADAS!E:E)</f>
        <v>2</v>
      </c>
      <c r="D23" s="1">
        <f>+SUMIF(VENTAS!C:C,INVENTARIO!A23,VENTAS!B:B)</f>
        <v>0</v>
      </c>
      <c r="E23" s="1">
        <f t="shared" si="2"/>
        <v>2</v>
      </c>
      <c r="F23" s="3">
        <f t="shared" si="0"/>
        <v>70000</v>
      </c>
      <c r="G23" s="8">
        <f t="shared" si="1"/>
        <v>140000</v>
      </c>
    </row>
    <row r="24" spans="1:7" x14ac:dyDescent="0.3">
      <c r="A24" s="1" t="s">
        <v>101</v>
      </c>
      <c r="B24" s="1" t="str">
        <f>+VLOOKUP(A24,ENTRADAS!$B:$G,2,FALSE)</f>
        <v>FILA RAY BEIGE MORADO</v>
      </c>
      <c r="C24" s="1">
        <f>+SUMIF(ENTRADAS!B:B,A24,ENTRADAS!E:E)</f>
        <v>15</v>
      </c>
      <c r="D24" s="1">
        <f>+SUMIF(VENTAS!C:C,INVENTARIO!A24,VENTAS!B:B)</f>
        <v>6</v>
      </c>
      <c r="E24" s="1">
        <f t="shared" si="2"/>
        <v>9</v>
      </c>
      <c r="F24" s="3">
        <f t="shared" si="0"/>
        <v>85000</v>
      </c>
      <c r="G24" s="8">
        <f t="shared" si="1"/>
        <v>765000</v>
      </c>
    </row>
    <row r="25" spans="1:7" x14ac:dyDescent="0.3">
      <c r="A25" s="1" t="s">
        <v>102</v>
      </c>
      <c r="B25" s="1" t="str">
        <f>+VLOOKUP(A25,ENTRADAS!$B:$G,2,FALSE)</f>
        <v>JORDAN 1 NEGRO DORADO</v>
      </c>
      <c r="C25" s="1">
        <f>+SUMIF(ENTRADAS!B:B,A25,ENTRADAS!E:E)</f>
        <v>2</v>
      </c>
      <c r="D25" s="1">
        <f>+SUMIF(VENTAS!C:C,INVENTARIO!A25,VENTAS!B:B)</f>
        <v>0</v>
      </c>
      <c r="E25" s="1">
        <f t="shared" si="2"/>
        <v>2</v>
      </c>
      <c r="F25" s="3">
        <f t="shared" si="0"/>
        <v>85000</v>
      </c>
      <c r="G25" s="8">
        <f t="shared" si="1"/>
        <v>170000</v>
      </c>
    </row>
    <row r="26" spans="1:7" x14ac:dyDescent="0.3">
      <c r="A26" s="1" t="s">
        <v>103</v>
      </c>
      <c r="B26" s="1" t="str">
        <f>+VLOOKUP(A26,ENTRADAS!$B:$G,2,FALSE)</f>
        <v>JORDAN 1 SPACEJAM</v>
      </c>
      <c r="C26" s="1">
        <f>+SUMIF(ENTRADAS!B:B,A26,ENTRADAS!E:E)</f>
        <v>17</v>
      </c>
      <c r="D26" s="1">
        <f>+SUMIF(VENTAS!C:C,INVENTARIO!A26,VENTAS!B:B)</f>
        <v>0</v>
      </c>
      <c r="E26" s="1">
        <f t="shared" si="2"/>
        <v>17</v>
      </c>
      <c r="F26" s="3">
        <f t="shared" si="0"/>
        <v>85000</v>
      </c>
      <c r="G26" s="8">
        <f t="shared" si="1"/>
        <v>1445000</v>
      </c>
    </row>
    <row r="27" spans="1:7" x14ac:dyDescent="0.3">
      <c r="A27" s="1" t="s">
        <v>104</v>
      </c>
      <c r="B27" s="1" t="str">
        <f>+VLOOKUP(A27,ENTRADAS!$B:$G,2,FALSE)</f>
        <v xml:space="preserve">JORDAN 4 FROZEN </v>
      </c>
      <c r="C27" s="1">
        <f>+SUMIF(ENTRADAS!B:B,A27,ENTRADAS!E:E)</f>
        <v>4</v>
      </c>
      <c r="D27" s="1">
        <f>+SUMIF(VENTAS!C:C,INVENTARIO!A27,VENTAS!B:B)</f>
        <v>0</v>
      </c>
      <c r="E27" s="1">
        <f t="shared" si="2"/>
        <v>4</v>
      </c>
      <c r="F27" s="3">
        <f t="shared" si="0"/>
        <v>80000</v>
      </c>
      <c r="G27" s="8">
        <f t="shared" si="1"/>
        <v>320000</v>
      </c>
    </row>
    <row r="28" spans="1:7" x14ac:dyDescent="0.3">
      <c r="A28" s="1" t="s">
        <v>105</v>
      </c>
      <c r="B28" s="1" t="str">
        <f>+VLOOKUP(A28,ENTRADAS!$B:$G,2,FALSE)</f>
        <v>JORDAN 4 FULL NEGRA</v>
      </c>
      <c r="C28" s="1">
        <f>+SUMIF(ENTRADAS!B:B,A28,ENTRADAS!E:E)</f>
        <v>23</v>
      </c>
      <c r="D28" s="1">
        <f>+SUMIF(VENTAS!C:C,INVENTARIO!A28,VENTAS!B:B)</f>
        <v>0</v>
      </c>
      <c r="E28" s="1">
        <f t="shared" si="2"/>
        <v>23</v>
      </c>
      <c r="F28" s="3">
        <f t="shared" si="0"/>
        <v>85000</v>
      </c>
      <c r="G28" s="8">
        <f t="shared" si="1"/>
        <v>1955000</v>
      </c>
    </row>
    <row r="29" spans="1:7" x14ac:dyDescent="0.3">
      <c r="A29" s="1" t="s">
        <v>106</v>
      </c>
      <c r="B29" s="1" t="str">
        <f>+VLOOKUP(A29,ENTRADAS!$B:$G,2,FALSE)</f>
        <v>JORDAN CADENCE BLANCO ROJO</v>
      </c>
      <c r="C29" s="1">
        <f>+SUMIF(ENTRADAS!B:B,A29,ENTRADAS!E:E)</f>
        <v>21</v>
      </c>
      <c r="D29" s="1">
        <f>+SUMIF(VENTAS!C:C,INVENTARIO!A29,VENTAS!B:B)</f>
        <v>6</v>
      </c>
      <c r="E29" s="1">
        <f t="shared" si="2"/>
        <v>15</v>
      </c>
      <c r="F29" s="3">
        <f t="shared" si="0"/>
        <v>90000</v>
      </c>
      <c r="G29" s="8">
        <f t="shared" si="1"/>
        <v>1350000</v>
      </c>
    </row>
    <row r="30" spans="1:7" x14ac:dyDescent="0.3">
      <c r="A30" s="1" t="s">
        <v>107</v>
      </c>
      <c r="B30" s="1" t="str">
        <f>+VLOOKUP(A30,ENTRADAS!$B:$G,2,FALSE)</f>
        <v>JORDAN CADENCE GRIS AMARILLO</v>
      </c>
      <c r="C30" s="1">
        <f>+SUMIF(ENTRADAS!B:B,A30,ENTRADAS!E:E)</f>
        <v>5</v>
      </c>
      <c r="D30" s="1">
        <f>+SUMIF(VENTAS!C:C,INVENTARIO!A30,VENTAS!B:B)</f>
        <v>0</v>
      </c>
      <c r="E30" s="1">
        <f t="shared" si="2"/>
        <v>5</v>
      </c>
      <c r="F30" s="3">
        <f t="shared" si="0"/>
        <v>80000</v>
      </c>
      <c r="G30" s="8">
        <f t="shared" si="1"/>
        <v>400000</v>
      </c>
    </row>
    <row r="31" spans="1:7" x14ac:dyDescent="0.3">
      <c r="A31" s="1" t="s">
        <v>108</v>
      </c>
      <c r="B31" s="1" t="str">
        <f>+VLOOKUP(A31,ENTRADAS!$B:$G,2,FALSE)</f>
        <v>JORDAN CADENCE GRIS ROJO</v>
      </c>
      <c r="C31" s="1">
        <f>+SUMIF(ENTRADAS!B:B,A31,ENTRADAS!E:E)</f>
        <v>10</v>
      </c>
      <c r="D31" s="1">
        <f>+SUMIF(VENTAS!C:C,INVENTARIO!A31,VENTAS!B:B)</f>
        <v>2</v>
      </c>
      <c r="E31" s="1">
        <f t="shared" si="2"/>
        <v>8</v>
      </c>
      <c r="F31" s="3">
        <f t="shared" si="0"/>
        <v>80000</v>
      </c>
      <c r="G31" s="8">
        <f t="shared" si="1"/>
        <v>640000</v>
      </c>
    </row>
    <row r="32" spans="1:7" x14ac:dyDescent="0.3">
      <c r="A32" s="1" t="s">
        <v>109</v>
      </c>
      <c r="B32" s="1" t="str">
        <f>+VLOOKUP(A32,ENTRADAS!$B:$G,2,FALSE)</f>
        <v>JORDAN RETRO 4 NEGRO AMARILLO</v>
      </c>
      <c r="C32" s="1">
        <f>+SUMIF(ENTRADAS!B:B,A32,ENTRADAS!E:E)</f>
        <v>23</v>
      </c>
      <c r="D32" s="1">
        <f>+SUMIF(VENTAS!C:C,INVENTARIO!A32,VENTAS!B:B)</f>
        <v>0</v>
      </c>
      <c r="E32" s="1">
        <f t="shared" si="2"/>
        <v>23</v>
      </c>
      <c r="F32" s="3">
        <f t="shared" si="0"/>
        <v>85000</v>
      </c>
      <c r="G32" s="8">
        <f t="shared" si="1"/>
        <v>1955000</v>
      </c>
    </row>
    <row r="33" spans="1:7" x14ac:dyDescent="0.3">
      <c r="A33" s="1" t="s">
        <v>110</v>
      </c>
      <c r="B33" s="1" t="str">
        <f>+VLOOKUP(A33,ENTRADAS!$B:$G,2,FALSE)</f>
        <v>LOUIS VUITTON G5 GRIS</v>
      </c>
      <c r="C33" s="1">
        <f>+SUMIF(ENTRADAS!B:B,A33,ENTRADAS!E:E)</f>
        <v>39</v>
      </c>
      <c r="D33" s="1">
        <f>+SUMIF(VENTAS!C:C,INVENTARIO!A33,VENTAS!B:B)</f>
        <v>13</v>
      </c>
      <c r="E33" s="1">
        <f t="shared" si="2"/>
        <v>26</v>
      </c>
      <c r="F33" s="3">
        <f t="shared" si="0"/>
        <v>150000</v>
      </c>
      <c r="G33" s="8">
        <f t="shared" si="1"/>
        <v>3900000</v>
      </c>
    </row>
    <row r="34" spans="1:7" x14ac:dyDescent="0.3">
      <c r="A34" s="1" t="s">
        <v>111</v>
      </c>
      <c r="B34" s="1" t="str">
        <f>+VLOOKUP(A34,ENTRADAS!$B:$G,2,FALSE)</f>
        <v>LOUIS VUITTON G5 NEGRA</v>
      </c>
      <c r="C34" s="1">
        <f>+SUMIF(ENTRADAS!B:B,A34,ENTRADAS!E:E)</f>
        <v>38</v>
      </c>
      <c r="D34" s="1">
        <f>+SUMIF(VENTAS!C:C,INVENTARIO!A34,VENTAS!B:B)</f>
        <v>15</v>
      </c>
      <c r="E34" s="1">
        <f t="shared" si="2"/>
        <v>23</v>
      </c>
      <c r="F34" s="3">
        <f t="shared" ref="F34:F65" si="3">+VLOOKUP(A34,ENTRADAS,5,0)</f>
        <v>150000</v>
      </c>
      <c r="G34" s="8">
        <f t="shared" si="1"/>
        <v>3450000</v>
      </c>
    </row>
    <row r="35" spans="1:7" x14ac:dyDescent="0.3">
      <c r="A35" s="1" t="s">
        <v>112</v>
      </c>
      <c r="B35" s="1" t="str">
        <f>+VLOOKUP(A35,ENTRADAS!$B:$G,2,FALSE)</f>
        <v>NEW BALANCE 1000 ROSADO</v>
      </c>
      <c r="C35" s="1">
        <f>+SUMIF(ENTRADAS!B:B,A35,ENTRADAS!E:E)</f>
        <v>6</v>
      </c>
      <c r="D35" s="1">
        <f>+SUMIF(VENTAS!C:C,INVENTARIO!A35,VENTAS!B:B)</f>
        <v>2</v>
      </c>
      <c r="E35" s="1">
        <f t="shared" si="2"/>
        <v>4</v>
      </c>
      <c r="F35" s="3">
        <f t="shared" si="3"/>
        <v>85000</v>
      </c>
      <c r="G35" s="8">
        <f t="shared" si="1"/>
        <v>340000</v>
      </c>
    </row>
    <row r="36" spans="1:7" x14ac:dyDescent="0.3">
      <c r="A36" s="1" t="s">
        <v>113</v>
      </c>
      <c r="B36" s="1" t="str">
        <f>+VLOOKUP(A36,ENTRADAS!$B:$G,2,FALSE)</f>
        <v>NEW BALANCE 1000 VERDE</v>
      </c>
      <c r="C36" s="1">
        <f>+SUMIF(ENTRADAS!B:B,A36,ENTRADAS!E:E)</f>
        <v>11</v>
      </c>
      <c r="D36" s="1">
        <f>+SUMIF(VENTAS!C:C,INVENTARIO!A36,VENTAS!B:B)</f>
        <v>7</v>
      </c>
      <c r="E36" s="1">
        <f t="shared" si="2"/>
        <v>4</v>
      </c>
      <c r="F36" s="3">
        <f t="shared" si="3"/>
        <v>66000</v>
      </c>
      <c r="G36" s="8">
        <f t="shared" si="1"/>
        <v>264000</v>
      </c>
    </row>
    <row r="37" spans="1:7" x14ac:dyDescent="0.3">
      <c r="A37" s="1" t="s">
        <v>114</v>
      </c>
      <c r="B37" s="1" t="str">
        <f>+VLOOKUP(A37,ENTRADAS!$B:$G,2,FALSE)</f>
        <v>NEW BALANCE 327 AZUL</v>
      </c>
      <c r="C37" s="1">
        <f>+SUMIF(ENTRADAS!B:B,A37,ENTRADAS!E:E)</f>
        <v>2</v>
      </c>
      <c r="D37" s="1">
        <f>+SUMIF(VENTAS!C:C,INVENTARIO!A37,VENTAS!B:B)</f>
        <v>0</v>
      </c>
      <c r="E37" s="1">
        <f t="shared" si="2"/>
        <v>2</v>
      </c>
      <c r="F37" s="3">
        <f t="shared" si="3"/>
        <v>80000</v>
      </c>
      <c r="G37" s="8">
        <f t="shared" si="1"/>
        <v>160000</v>
      </c>
    </row>
    <row r="38" spans="1:7" x14ac:dyDescent="0.3">
      <c r="A38" s="1" t="s">
        <v>115</v>
      </c>
      <c r="B38" s="1" t="str">
        <f>+VLOOKUP(A38,ENTRADAS!$B:$G,2,FALSE)</f>
        <v>NEW BALANCE 530 BLANCO AZUL</v>
      </c>
      <c r="C38" s="1">
        <f>+SUMIF(ENTRADAS!B:B,A38,ENTRADAS!E:E)</f>
        <v>34</v>
      </c>
      <c r="D38" s="1">
        <f>+SUMIF(VENTAS!C:C,INVENTARIO!A38,VENTAS!B:B)</f>
        <v>6</v>
      </c>
      <c r="E38" s="1">
        <f t="shared" si="2"/>
        <v>28</v>
      </c>
      <c r="F38" s="3">
        <f t="shared" si="3"/>
        <v>75000</v>
      </c>
      <c r="G38" s="8">
        <f t="shared" si="1"/>
        <v>2100000</v>
      </c>
    </row>
    <row r="39" spans="1:7" x14ac:dyDescent="0.3">
      <c r="A39" s="1" t="s">
        <v>116</v>
      </c>
      <c r="B39" s="1" t="str">
        <f>+VLOOKUP(A39,ENTRADAS!$B:$G,2,FALSE)</f>
        <v>NEW BALANCE 530 BLANCO PLATEADO</v>
      </c>
      <c r="C39" s="1">
        <f>+SUMIF(ENTRADAS!B:B,A39,ENTRADAS!E:E)</f>
        <v>26</v>
      </c>
      <c r="D39" s="1">
        <f>+SUMIF(VENTAS!C:C,INVENTARIO!A39,VENTAS!B:B)</f>
        <v>11</v>
      </c>
      <c r="E39" s="1">
        <f t="shared" si="2"/>
        <v>15</v>
      </c>
      <c r="F39" s="3">
        <f t="shared" si="3"/>
        <v>75000</v>
      </c>
      <c r="G39" s="8">
        <f t="shared" si="1"/>
        <v>1125000</v>
      </c>
    </row>
    <row r="40" spans="1:7" x14ac:dyDescent="0.3">
      <c r="A40" s="1" t="s">
        <v>117</v>
      </c>
      <c r="B40" s="1" t="str">
        <f>+VLOOKUP(A40,ENTRADAS!$B:$G,2,FALSE)</f>
        <v>NEW BALANCE 574 GRIS</v>
      </c>
      <c r="C40" s="1">
        <v>4</v>
      </c>
      <c r="D40" s="1">
        <f>+SUMIF(VENTAS!C:C,INVENTARIO!A40,VENTAS!B:B)</f>
        <v>1</v>
      </c>
      <c r="E40" s="1">
        <f t="shared" si="2"/>
        <v>3</v>
      </c>
      <c r="F40" s="3">
        <f t="shared" si="3"/>
        <v>100000</v>
      </c>
      <c r="G40" s="8">
        <f t="shared" si="1"/>
        <v>300000</v>
      </c>
    </row>
    <row r="41" spans="1:7" x14ac:dyDescent="0.3">
      <c r="A41" s="1" t="s">
        <v>118</v>
      </c>
      <c r="B41" s="1" t="str">
        <f>+VLOOKUP(A41,ENTRADAS!$B:$G,2,FALSE)</f>
        <v>NEW BALANCE 9060 BEIGE</v>
      </c>
      <c r="C41" s="1">
        <f>+SUMIF(ENTRADAS!B:B,A41,ENTRADAS!E:E)</f>
        <v>5</v>
      </c>
      <c r="D41" s="1">
        <f>+SUMIF(VENTAS!C:C,INVENTARIO!A41,VENTAS!B:B)</f>
        <v>1</v>
      </c>
      <c r="E41" s="1">
        <f t="shared" si="2"/>
        <v>4</v>
      </c>
      <c r="F41" s="3">
        <f t="shared" si="3"/>
        <v>80000</v>
      </c>
      <c r="G41" s="8">
        <f t="shared" si="1"/>
        <v>320000</v>
      </c>
    </row>
    <row r="42" spans="1:7" x14ac:dyDescent="0.3">
      <c r="A42" s="1" t="s">
        <v>119</v>
      </c>
      <c r="B42" s="1" t="str">
        <f>+VLOOKUP(A42,ENTRADAS!$B:$G,2,FALSE)</f>
        <v>NEW BALANCE 9060 CAFÉ</v>
      </c>
      <c r="C42" s="1">
        <f>+SUMIF(ENTRADAS!B:B,A42,ENTRADAS!E:E)</f>
        <v>2</v>
      </c>
      <c r="D42" s="1">
        <f>+SUMIF(VENTAS!C:C,INVENTARIO!A42,VENTAS!B:B)</f>
        <v>2</v>
      </c>
      <c r="E42" s="1">
        <f t="shared" si="2"/>
        <v>0</v>
      </c>
      <c r="F42" s="3">
        <f t="shared" si="3"/>
        <v>80000</v>
      </c>
      <c r="G42" s="8">
        <f t="shared" si="1"/>
        <v>0</v>
      </c>
    </row>
    <row r="43" spans="1:7" x14ac:dyDescent="0.3">
      <c r="A43" s="1" t="s">
        <v>120</v>
      </c>
      <c r="B43" s="1" t="str">
        <f>+VLOOKUP(A43,ENTRADAS!$B:$G,2,FALSE)</f>
        <v>NEW BALANCE 9060 FULL NEGRO</v>
      </c>
      <c r="C43" s="1">
        <f>+SUMIF(ENTRADAS!B:B,A43,ENTRADAS!E:E)</f>
        <v>12</v>
      </c>
      <c r="D43" s="1">
        <f>+SUMIF(VENTAS!C:C,INVENTARIO!A43,VENTAS!B:B)</f>
        <v>1</v>
      </c>
      <c r="E43" s="1">
        <f t="shared" si="2"/>
        <v>11</v>
      </c>
      <c r="F43" s="3">
        <f t="shared" si="3"/>
        <v>85000</v>
      </c>
      <c r="G43" s="8">
        <f t="shared" si="1"/>
        <v>935000</v>
      </c>
    </row>
    <row r="44" spans="1:7" x14ac:dyDescent="0.3">
      <c r="A44" s="1" t="s">
        <v>121</v>
      </c>
      <c r="B44" s="1" t="str">
        <f>+VLOOKUP(A44,ENTRADAS!$B:$G,2,FALSE)</f>
        <v>NEW BALANCE 9060 GRIS</v>
      </c>
      <c r="C44" s="1">
        <f>+SUMIF(ENTRADAS!B:B,A44,ENTRADAS!E:E)</f>
        <v>4</v>
      </c>
      <c r="D44" s="1">
        <f>+SUMIF(VENTAS!C:C,INVENTARIO!A44,VENTAS!B:B)</f>
        <v>0</v>
      </c>
      <c r="E44" s="1">
        <f t="shared" si="2"/>
        <v>4</v>
      </c>
      <c r="F44" s="3">
        <f t="shared" si="3"/>
        <v>80000</v>
      </c>
      <c r="G44" s="8">
        <f t="shared" si="1"/>
        <v>320000</v>
      </c>
    </row>
    <row r="45" spans="1:7" x14ac:dyDescent="0.3">
      <c r="A45" s="1" t="s">
        <v>122</v>
      </c>
      <c r="B45" s="1" t="str">
        <f>+VLOOKUP(A45,ENTRADAS!$B:$G,2,FALSE)</f>
        <v>NEW BALANCE 9060 NEGRO BLANCO</v>
      </c>
      <c r="C45" s="1">
        <f>+SUMIF(ENTRADAS!B:B,A45,ENTRADAS!E:E)</f>
        <v>14</v>
      </c>
      <c r="D45" s="1">
        <f>+SUMIF(VENTAS!C:C,INVENTARIO!A45,VENTAS!B:B)</f>
        <v>3</v>
      </c>
      <c r="E45" s="1">
        <f t="shared" si="2"/>
        <v>11</v>
      </c>
      <c r="F45" s="3">
        <f t="shared" si="3"/>
        <v>90000</v>
      </c>
      <c r="G45" s="8">
        <f t="shared" si="1"/>
        <v>990000</v>
      </c>
    </row>
    <row r="46" spans="1:7" x14ac:dyDescent="0.3">
      <c r="A46" s="1" t="s">
        <v>123</v>
      </c>
      <c r="B46" s="1" t="str">
        <f>+VLOOKUP(A46,ENTRADAS!$B:$G,2,FALSE)</f>
        <v>NEW BALANCE 990 CAFÉ</v>
      </c>
      <c r="C46" s="1">
        <f>+SUMIF(ENTRADAS!B:B,A46,ENTRADAS!E:E)</f>
        <v>3</v>
      </c>
      <c r="D46" s="1">
        <f>+SUMIF(VENTAS!C:C,INVENTARIO!A46,VENTAS!B:B)</f>
        <v>1</v>
      </c>
      <c r="E46" s="1">
        <f t="shared" si="2"/>
        <v>2</v>
      </c>
      <c r="F46" s="3">
        <f t="shared" si="3"/>
        <v>100000</v>
      </c>
      <c r="G46" s="8">
        <f t="shared" si="1"/>
        <v>200000</v>
      </c>
    </row>
    <row r="47" spans="1:7" x14ac:dyDescent="0.3">
      <c r="A47" s="1" t="s">
        <v>124</v>
      </c>
      <c r="B47" s="1" t="str">
        <f>+VLOOKUP(A47,ENTRADAS!$B:$G,2,FALSE)</f>
        <v>NEW BALANCE 990 GRIS</v>
      </c>
      <c r="C47" s="1">
        <f>+SUMIF(ENTRADAS!B:B,A47,ENTRADAS!E:E)</f>
        <v>3</v>
      </c>
      <c r="D47" s="1">
        <f>+SUMIF(VENTAS!C:C,INVENTARIO!A47,VENTAS!B:B)</f>
        <v>0</v>
      </c>
      <c r="E47" s="1">
        <f t="shared" si="2"/>
        <v>3</v>
      </c>
      <c r="F47" s="3">
        <f t="shared" si="3"/>
        <v>100000</v>
      </c>
      <c r="G47" s="8">
        <f t="shared" si="1"/>
        <v>300000</v>
      </c>
    </row>
    <row r="48" spans="1:7" x14ac:dyDescent="0.3">
      <c r="A48" s="1" t="s">
        <v>125</v>
      </c>
      <c r="B48" s="1" t="str">
        <f>+VLOOKUP(A48,ENTRADAS!$B:$G,2,FALSE)</f>
        <v>NEW BALANCE 990 GRIS NEGRO</v>
      </c>
      <c r="C48" s="1">
        <f>+SUMIF(ENTRADAS!B:B,A48,ENTRADAS!E:E)</f>
        <v>3</v>
      </c>
      <c r="D48" s="1">
        <f>+SUMIF(VENTAS!C:C,INVENTARIO!A48,VENTAS!B:B)</f>
        <v>0</v>
      </c>
      <c r="E48" s="1">
        <f t="shared" si="2"/>
        <v>3</v>
      </c>
      <c r="F48" s="3">
        <f t="shared" si="3"/>
        <v>100000</v>
      </c>
      <c r="G48" s="8">
        <f t="shared" si="1"/>
        <v>300000</v>
      </c>
    </row>
    <row r="49" spans="1:7" x14ac:dyDescent="0.3">
      <c r="A49" s="1" t="s">
        <v>126</v>
      </c>
      <c r="B49" s="1" t="str">
        <f>+VLOOKUP(A49,ENTRADAS!$B:$G,2,FALSE)</f>
        <v>NEW BALANCE ELITE BLANCO VERDE</v>
      </c>
      <c r="C49" s="1">
        <f>+SUMIF(ENTRADAS!B:B,A49,ENTRADAS!E:E)</f>
        <v>9</v>
      </c>
      <c r="D49" s="1">
        <f>+SUMIF(VENTAS!C:C,INVENTARIO!A49,VENTAS!B:B)</f>
        <v>0</v>
      </c>
      <c r="E49" s="1">
        <f t="shared" si="2"/>
        <v>9</v>
      </c>
      <c r="F49" s="3">
        <f t="shared" si="3"/>
        <v>80000</v>
      </c>
      <c r="G49" s="8">
        <f t="shared" si="1"/>
        <v>720000</v>
      </c>
    </row>
    <row r="50" spans="1:7" x14ac:dyDescent="0.3">
      <c r="A50" s="1" t="s">
        <v>127</v>
      </c>
      <c r="B50" s="1" t="str">
        <f>+VLOOKUP(A50,ENTRADAS!$B:$G,2,FALSE)</f>
        <v>NEW BALANCE MIU MIU</v>
      </c>
      <c r="C50" s="1">
        <f>+SUMIF(ENTRADAS!B:B,A50,ENTRADAS!E:E)</f>
        <v>15</v>
      </c>
      <c r="D50" s="1">
        <f>+SUMIF(VENTAS!C:C,INVENTARIO!A50,VENTAS!B:B)</f>
        <v>1</v>
      </c>
      <c r="E50" s="1">
        <f t="shared" si="2"/>
        <v>14</v>
      </c>
      <c r="F50" s="3">
        <f t="shared" si="3"/>
        <v>80000</v>
      </c>
      <c r="G50" s="8">
        <f t="shared" si="1"/>
        <v>1120000</v>
      </c>
    </row>
    <row r="51" spans="1:7" x14ac:dyDescent="0.3">
      <c r="A51" s="1" t="s">
        <v>128</v>
      </c>
      <c r="B51" s="1" t="str">
        <f>+VLOOKUP(A51,ENTRADAS!$B:$G,2,FALSE)</f>
        <v>NIKE  CORTEZ VERDE ROSADO</v>
      </c>
      <c r="C51" s="1">
        <f>+SUMIF(ENTRADAS!B:B,A51,ENTRADAS!E:E)</f>
        <v>11</v>
      </c>
      <c r="D51" s="1">
        <f>+SUMIF(VENTAS!C:C,INVENTARIO!A51,VENTAS!B:B)</f>
        <v>0</v>
      </c>
      <c r="E51" s="1">
        <f t="shared" si="2"/>
        <v>11</v>
      </c>
      <c r="F51" s="3">
        <f t="shared" si="3"/>
        <v>80000</v>
      </c>
      <c r="G51" s="8">
        <f t="shared" si="1"/>
        <v>880000</v>
      </c>
    </row>
    <row r="52" spans="1:7" x14ac:dyDescent="0.3">
      <c r="A52" s="1" t="s">
        <v>129</v>
      </c>
      <c r="B52" s="1" t="str">
        <f>+VLOOKUP(A52,ENTRADAS!$B:$G,2,FALSE)</f>
        <v>NIKE AF1 HIGTH BLANCA</v>
      </c>
      <c r="C52" s="1">
        <f>+SUMIF(ENTRADAS!B:B,A52,ENTRADAS!E:E)</f>
        <v>9</v>
      </c>
      <c r="D52" s="1">
        <f>+SUMIF(VENTAS!C:C,INVENTARIO!A52,VENTAS!B:B)</f>
        <v>4</v>
      </c>
      <c r="E52" s="1">
        <f t="shared" si="2"/>
        <v>5</v>
      </c>
      <c r="F52" s="3">
        <f t="shared" si="3"/>
        <v>85000</v>
      </c>
      <c r="G52" s="8">
        <f t="shared" si="1"/>
        <v>425000</v>
      </c>
    </row>
    <row r="53" spans="1:7" x14ac:dyDescent="0.3">
      <c r="A53" s="1" t="s">
        <v>130</v>
      </c>
      <c r="B53" s="1" t="str">
        <f>+VLOOKUP(A53,ENTRADAS!$B:$G,2,FALSE)</f>
        <v>NIKE AF1 LOW BLANCO</v>
      </c>
      <c r="C53" s="1">
        <f>+SUMIF(ENTRADAS!B:B,A53,ENTRADAS!E:E)</f>
        <v>39</v>
      </c>
      <c r="D53" s="1">
        <f>+SUMIF(VENTAS!C:C,INVENTARIO!A53,VENTAS!B:B)</f>
        <v>17</v>
      </c>
      <c r="E53" s="1">
        <f t="shared" si="2"/>
        <v>22</v>
      </c>
      <c r="F53" s="3">
        <f t="shared" si="3"/>
        <v>70000</v>
      </c>
      <c r="G53" s="8">
        <f t="shared" si="1"/>
        <v>1540000</v>
      </c>
    </row>
    <row r="54" spans="1:7" x14ac:dyDescent="0.3">
      <c r="A54" s="1" t="s">
        <v>131</v>
      </c>
      <c r="B54" s="1" t="str">
        <f>+VLOOKUP(A54,ENTRADAS!$B:$G,2,FALSE)</f>
        <v>NIKE AIRMAX 90 FULL ROJO</v>
      </c>
      <c r="C54" s="1">
        <f>+SUMIF(ENTRADAS!B:B,A54,ENTRADAS!E:E)</f>
        <v>8</v>
      </c>
      <c r="D54" s="1">
        <f>+SUMIF(VENTAS!C:C,INVENTARIO!A54,VENTAS!B:B)</f>
        <v>2</v>
      </c>
      <c r="E54" s="1">
        <f t="shared" si="2"/>
        <v>6</v>
      </c>
      <c r="F54" s="3">
        <f t="shared" si="3"/>
        <v>80000</v>
      </c>
      <c r="G54" s="8">
        <f t="shared" si="1"/>
        <v>480000</v>
      </c>
    </row>
    <row r="55" spans="1:7" x14ac:dyDescent="0.3">
      <c r="A55" s="1" t="s">
        <v>132</v>
      </c>
      <c r="B55" s="1" t="str">
        <f>+VLOOKUP(A55,ENTRADAS!$B:$G,2,FALSE)</f>
        <v>NIKE AIRMAX 90 LUCHADOR</v>
      </c>
      <c r="C55" s="1">
        <f>+SUMIF(ENTRADAS!B:B,A55,ENTRADAS!E:E)</f>
        <v>22</v>
      </c>
      <c r="D55" s="1">
        <f>+SUMIF(VENTAS!C:C,INVENTARIO!A55,VENTAS!B:B)</f>
        <v>0</v>
      </c>
      <c r="E55" s="1">
        <f t="shared" si="2"/>
        <v>22</v>
      </c>
      <c r="F55" s="3">
        <f t="shared" si="3"/>
        <v>80000</v>
      </c>
      <c r="G55" s="8">
        <f t="shared" si="1"/>
        <v>1760000</v>
      </c>
    </row>
    <row r="56" spans="1:7" x14ac:dyDescent="0.3">
      <c r="A56" s="1" t="s">
        <v>133</v>
      </c>
      <c r="B56" s="1" t="str">
        <f>+VLOOKUP(A56,ENTRADAS!$B:$G,2,FALSE)</f>
        <v>NIKE AIRMAX 90 SAN VALENTIN</v>
      </c>
      <c r="C56" s="1">
        <f>+SUMIF(ENTRADAS!B:B,A56,ENTRADAS!E:E)</f>
        <v>2</v>
      </c>
      <c r="D56" s="1">
        <f>+SUMIF(VENTAS!C:C,INVENTARIO!A56,VENTAS!B:B)</f>
        <v>0</v>
      </c>
      <c r="E56" s="1">
        <f t="shared" si="2"/>
        <v>2</v>
      </c>
      <c r="F56" s="3">
        <f t="shared" si="3"/>
        <v>85000</v>
      </c>
      <c r="G56" s="8">
        <f t="shared" si="1"/>
        <v>170000</v>
      </c>
    </row>
    <row r="57" spans="1:7" x14ac:dyDescent="0.3">
      <c r="A57" s="1" t="s">
        <v>134</v>
      </c>
      <c r="B57" s="1" t="str">
        <f>+VLOOKUP(A57,ENTRADAS!$B:$G,2,FALSE)</f>
        <v>NIKE CORTEZ CAFÉ</v>
      </c>
      <c r="C57" s="1">
        <f>+SUMIF(ENTRADAS!B:B,A57,ENTRADAS!E:E)</f>
        <v>12</v>
      </c>
      <c r="D57" s="1">
        <f>+SUMIF(VENTAS!C:C,INVENTARIO!A57,VENTAS!B:B)</f>
        <v>1</v>
      </c>
      <c r="E57" s="1">
        <f t="shared" si="2"/>
        <v>11</v>
      </c>
      <c r="F57" s="3">
        <f t="shared" si="3"/>
        <v>80000</v>
      </c>
      <c r="G57" s="8">
        <f t="shared" si="1"/>
        <v>880000</v>
      </c>
    </row>
    <row r="58" spans="1:7" x14ac:dyDescent="0.3">
      <c r="A58" s="1" t="s">
        <v>135</v>
      </c>
      <c r="B58" s="1" t="str">
        <f>+VLOOKUP(A58,ENTRADAS!$B:$G,2,FALSE)</f>
        <v>NIKE CORTEZ SAN VALENTIN</v>
      </c>
      <c r="C58" s="1">
        <f>+SUMIF(ENTRADAS!B:B,A58,ENTRADAS!E:E)</f>
        <v>3</v>
      </c>
      <c r="D58" s="1">
        <f>+SUMIF(VENTAS!C:C,INVENTARIO!A58,VENTAS!B:B)</f>
        <v>0</v>
      </c>
      <c r="E58" s="1">
        <f t="shared" si="2"/>
        <v>3</v>
      </c>
      <c r="F58" s="3">
        <f t="shared" si="3"/>
        <v>80000</v>
      </c>
      <c r="G58" s="8">
        <f t="shared" si="1"/>
        <v>240000</v>
      </c>
    </row>
    <row r="59" spans="1:7" x14ac:dyDescent="0.3">
      <c r="A59" s="1" t="s">
        <v>136</v>
      </c>
      <c r="B59" s="1" t="str">
        <f>+VLOOKUP(A59,ENTRADAS!$B:$G,2,FALSE)</f>
        <v>NIKE CORTEZ VINOTINTO</v>
      </c>
      <c r="C59" s="1">
        <f>+SUMIF(ENTRADAS!B:B,A59,ENTRADAS!E:E)</f>
        <v>13</v>
      </c>
      <c r="D59" s="1">
        <f>+SUMIF(VENTAS!C:C,INVENTARIO!A59,VENTAS!B:B)</f>
        <v>1</v>
      </c>
      <c r="E59" s="1">
        <f t="shared" si="2"/>
        <v>12</v>
      </c>
      <c r="F59" s="3">
        <f t="shared" si="3"/>
        <v>80000</v>
      </c>
      <c r="G59" s="8">
        <f t="shared" si="1"/>
        <v>960000</v>
      </c>
    </row>
    <row r="60" spans="1:7" x14ac:dyDescent="0.3">
      <c r="A60" s="1" t="s">
        <v>137</v>
      </c>
      <c r="B60" s="1" t="str">
        <f>+VLOOKUP(A60,ENTRADAS!$B:$G,2,FALSE)</f>
        <v>NIKE FREE BEIGE</v>
      </c>
      <c r="C60" s="1">
        <f>+SUMIF(ENTRADAS!B:B,A60,ENTRADAS!E:E)</f>
        <v>20</v>
      </c>
      <c r="D60" s="1">
        <f>+SUMIF(VENTAS!C:C,INVENTARIO!A60,VENTAS!B:B)</f>
        <v>1</v>
      </c>
      <c r="E60" s="1">
        <f t="shared" si="2"/>
        <v>19</v>
      </c>
      <c r="F60" s="3">
        <f t="shared" si="3"/>
        <v>80000</v>
      </c>
      <c r="G60" s="8">
        <f t="shared" si="1"/>
        <v>1520000</v>
      </c>
    </row>
    <row r="61" spans="1:7" x14ac:dyDescent="0.3">
      <c r="A61" s="1" t="s">
        <v>138</v>
      </c>
      <c r="B61" s="1" t="str">
        <f>+VLOOKUP(A61,ENTRADAS!$B:$G,2,FALSE)</f>
        <v>NIKE FREE NEGRO BLANCO</v>
      </c>
      <c r="C61" s="1">
        <f>+SUMIF(ENTRADAS!B:B,A61,ENTRADAS!E:E)</f>
        <v>31</v>
      </c>
      <c r="D61" s="1">
        <f>+SUMIF(VENTAS!C:C,INVENTARIO!A61,VENTAS!B:B)</f>
        <v>3</v>
      </c>
      <c r="E61" s="1">
        <f t="shared" si="2"/>
        <v>28</v>
      </c>
      <c r="F61" s="3">
        <f t="shared" si="3"/>
        <v>80000</v>
      </c>
      <c r="G61" s="8">
        <f t="shared" si="1"/>
        <v>2240000</v>
      </c>
    </row>
    <row r="62" spans="1:7" x14ac:dyDescent="0.3">
      <c r="A62" s="1" t="s">
        <v>139</v>
      </c>
      <c r="B62" s="1" t="str">
        <f>+VLOOKUP(A62,ENTRADAS!$B:$G,2,FALSE)</f>
        <v>NIKE SB BLANCO MORADO</v>
      </c>
      <c r="C62" s="1">
        <f>+SUMIF(ENTRADAS!B:B,A62,ENTRADAS!E:E)</f>
        <v>24</v>
      </c>
      <c r="D62" s="1">
        <f>+SUMIF(VENTAS!C:C,INVENTARIO!A62,VENTAS!B:B)</f>
        <v>6</v>
      </c>
      <c r="E62" s="1">
        <f t="shared" si="2"/>
        <v>18</v>
      </c>
      <c r="F62" s="3">
        <f t="shared" si="3"/>
        <v>85000</v>
      </c>
      <c r="G62" s="8">
        <f t="shared" si="1"/>
        <v>1530000</v>
      </c>
    </row>
    <row r="63" spans="1:7" x14ac:dyDescent="0.3">
      <c r="A63" s="1" t="s">
        <v>140</v>
      </c>
      <c r="B63" s="1" t="str">
        <f>+VLOOKUP(A63,ENTRADAS!$B:$G,2,FALSE)</f>
        <v>NIKE SB VERDE OLIVA</v>
      </c>
      <c r="C63" s="1">
        <f>+SUMIF(ENTRADAS!B:B,A63,ENTRADAS!E:E)</f>
        <v>24</v>
      </c>
      <c r="D63" s="1">
        <f>+SUMIF(VENTAS!C:C,INVENTARIO!A63,VENTAS!B:B)</f>
        <v>5</v>
      </c>
      <c r="E63" s="1">
        <f t="shared" si="2"/>
        <v>19</v>
      </c>
      <c r="F63" s="3">
        <f t="shared" si="3"/>
        <v>80000</v>
      </c>
      <c r="G63" s="8">
        <f t="shared" si="1"/>
        <v>1520000</v>
      </c>
    </row>
    <row r="64" spans="1:7" x14ac:dyDescent="0.3">
      <c r="A64" s="1" t="s">
        <v>141</v>
      </c>
      <c r="B64" s="1" t="str">
        <f>+VLOOKUP(A64,ENTRADAS!$B:$G,2,FALSE)</f>
        <v>NIKE SKATE NEGRO BLANCO</v>
      </c>
      <c r="C64" s="1">
        <f>+SUMIF(ENTRADAS!B:B,A64,ENTRADAS!E:E)</f>
        <v>3</v>
      </c>
      <c r="D64" s="1">
        <f>+SUMIF(VENTAS!C:C,INVENTARIO!A64,VENTAS!B:B)</f>
        <v>0</v>
      </c>
      <c r="E64" s="1">
        <f t="shared" si="2"/>
        <v>3</v>
      </c>
      <c r="F64" s="3">
        <f t="shared" si="3"/>
        <v>80000</v>
      </c>
      <c r="G64" s="8">
        <f t="shared" si="1"/>
        <v>240000</v>
      </c>
    </row>
    <row r="65" spans="1:7" x14ac:dyDescent="0.3">
      <c r="A65" s="1" t="s">
        <v>142</v>
      </c>
      <c r="B65" s="1" t="str">
        <f>+VLOOKUP(A65,ENTRADAS!$B:$G,2,FALSE)</f>
        <v>NIKE TN FULL NEGRO</v>
      </c>
      <c r="C65" s="1">
        <f>+SUMIF(ENTRADAS!B:B,A65,ENTRADAS!E:E)</f>
        <v>19</v>
      </c>
      <c r="D65" s="1">
        <f>+SUMIF(VENTAS!C:C,INVENTARIO!A65,VENTAS!B:B)</f>
        <v>1</v>
      </c>
      <c r="E65" s="1">
        <f t="shared" si="2"/>
        <v>18</v>
      </c>
      <c r="F65" s="3">
        <f t="shared" si="3"/>
        <v>85000</v>
      </c>
      <c r="G65" s="8">
        <f t="shared" si="1"/>
        <v>1530000</v>
      </c>
    </row>
    <row r="66" spans="1:7" x14ac:dyDescent="0.3">
      <c r="A66" s="1" t="s">
        <v>143</v>
      </c>
      <c r="B66" s="1" t="str">
        <f>+VLOOKUP(A66,ENTRADAS!$B:$G,2,FALSE)</f>
        <v>NIKE VOMERO 5 BEIGE</v>
      </c>
      <c r="C66" s="1">
        <f>+SUMIF(ENTRADAS!B:B,A66,ENTRADAS!E:E)</f>
        <v>13</v>
      </c>
      <c r="D66" s="1">
        <f>+SUMIF(VENTAS!C:C,INVENTARIO!A66,VENTAS!B:B)</f>
        <v>1</v>
      </c>
      <c r="E66" s="1">
        <f t="shared" si="2"/>
        <v>12</v>
      </c>
      <c r="F66" s="3">
        <f t="shared" ref="F66:F73" si="4">+VLOOKUP(A66,ENTRADAS,5,0)</f>
        <v>80000</v>
      </c>
      <c r="G66" s="8">
        <f t="shared" si="1"/>
        <v>960000</v>
      </c>
    </row>
    <row r="67" spans="1:7" x14ac:dyDescent="0.3">
      <c r="A67" s="1" t="s">
        <v>144</v>
      </c>
      <c r="B67" s="1" t="str">
        <f>+VLOOKUP(A67,ENTRADAS!$B:$G,2,FALSE)</f>
        <v>NIKE VOMERO 5 BLANCO PLATEADO</v>
      </c>
      <c r="C67" s="1">
        <f>+SUMIF(ENTRADAS!B:B,A67,ENTRADAS!E:E)</f>
        <v>9</v>
      </c>
      <c r="D67" s="1">
        <f>+SUMIF(VENTAS!C:C,INVENTARIO!A67,VENTAS!B:B)</f>
        <v>1</v>
      </c>
      <c r="E67" s="1">
        <f t="shared" si="2"/>
        <v>8</v>
      </c>
      <c r="F67" s="3">
        <f t="shared" si="4"/>
        <v>80000</v>
      </c>
      <c r="G67" s="8">
        <f t="shared" ref="G67:G71" si="5">+E67*F67</f>
        <v>640000</v>
      </c>
    </row>
    <row r="68" spans="1:7" x14ac:dyDescent="0.3">
      <c r="A68" s="1" t="s">
        <v>145</v>
      </c>
      <c r="B68" s="1" t="str">
        <f>+VLOOKUP(A68,ENTRADAS!$B:$G,2,FALSE)</f>
        <v>PUMA PALERMO ROSADA</v>
      </c>
      <c r="C68" s="1">
        <f>+SUMIF(ENTRADAS!B:B,A68,ENTRADAS!E:E)</f>
        <v>7</v>
      </c>
      <c r="D68" s="1">
        <f>+SUMIF(VENTAS!C:C,INVENTARIO!A68,VENTAS!B:B)</f>
        <v>0</v>
      </c>
      <c r="E68" s="1">
        <f t="shared" ref="E68:E71" si="6">+C68-D68</f>
        <v>7</v>
      </c>
      <c r="F68" s="3">
        <f t="shared" si="4"/>
        <v>80000</v>
      </c>
      <c r="G68" s="8">
        <f t="shared" si="5"/>
        <v>560000</v>
      </c>
    </row>
    <row r="69" spans="1:7" x14ac:dyDescent="0.3">
      <c r="A69" s="1" t="s">
        <v>146</v>
      </c>
      <c r="B69" s="1" t="str">
        <f>+VLOOKUP(A69,ENTRADAS!$B:$G,2,FALSE)</f>
        <v>SKECHERS DLITES BLANCO</v>
      </c>
      <c r="C69" s="1">
        <f>+SUMIF(ENTRADAS!B:B,A69,ENTRADAS!E:E)</f>
        <v>20</v>
      </c>
      <c r="D69" s="1">
        <f>+SUMIF(VENTAS!C:C,INVENTARIO!A69,VENTAS!B:B)</f>
        <v>5</v>
      </c>
      <c r="E69" s="1">
        <f t="shared" si="6"/>
        <v>15</v>
      </c>
      <c r="F69" s="3">
        <f t="shared" si="4"/>
        <v>85000</v>
      </c>
      <c r="G69" s="8">
        <f t="shared" si="5"/>
        <v>1275000</v>
      </c>
    </row>
    <row r="70" spans="1:7" x14ac:dyDescent="0.3">
      <c r="A70" s="1" t="s">
        <v>147</v>
      </c>
      <c r="B70" s="1" t="str">
        <f>+VLOOKUP(A70,ENTRADAS!$B:$G,2,FALSE)</f>
        <v>SKECHERS DLITES NEGRA</v>
      </c>
      <c r="C70" s="1">
        <f>+SUMIF(ENTRADAS!B:B,A70,ENTRADAS!E:E)</f>
        <v>19</v>
      </c>
      <c r="D70" s="1">
        <f>+SUMIF(VENTAS!C:C,INVENTARIO!A70,VENTAS!B:B)</f>
        <v>2</v>
      </c>
      <c r="E70" s="1">
        <f t="shared" si="6"/>
        <v>17</v>
      </c>
      <c r="F70" s="3">
        <f t="shared" si="4"/>
        <v>85000</v>
      </c>
      <c r="G70" s="8">
        <f t="shared" si="5"/>
        <v>1445000</v>
      </c>
    </row>
    <row r="71" spans="1:7" x14ac:dyDescent="0.3">
      <c r="A71" s="1" t="s">
        <v>148</v>
      </c>
      <c r="B71" s="1" t="str">
        <f>+VLOOKUP(A71,ENTRADAS!$B:$G,2,FALSE)</f>
        <v>SKECHERS ONE BLANCO</v>
      </c>
      <c r="C71" s="1">
        <f>+SUMIF(ENTRADAS!B:B,A71,ENTRADAS!E:E)</f>
        <v>12</v>
      </c>
      <c r="D71" s="1">
        <f>+SUMIF(VENTAS!C:C,INVENTARIO!A71,VENTAS!B:B)</f>
        <v>7</v>
      </c>
      <c r="E71" s="1">
        <f t="shared" si="6"/>
        <v>5</v>
      </c>
      <c r="F71" s="3">
        <f t="shared" si="4"/>
        <v>85000</v>
      </c>
      <c r="G71" s="8">
        <f t="shared" si="5"/>
        <v>425000</v>
      </c>
    </row>
    <row r="72" spans="1:7" x14ac:dyDescent="0.3">
      <c r="A72" s="1" t="s">
        <v>149</v>
      </c>
      <c r="B72" s="1" t="str">
        <f>+VLOOKUP(A72,ENTRADAS!$B:$G,2,FALSE)</f>
        <v>ADIDAS EQT BEIGE VERDE NARANJA</v>
      </c>
      <c r="C72" s="1">
        <f>+SUMIF(ENTRADAS!B:B,A72,ENTRADAS!E:E)</f>
        <v>24</v>
      </c>
      <c r="D72" s="1">
        <f>+SUMIF(VENTAS!C:C,INVENTARIO!A72,VENTAS!B:B)</f>
        <v>6</v>
      </c>
      <c r="E72" s="1">
        <f t="shared" ref="E72:E76" si="7">+C72-D72</f>
        <v>18</v>
      </c>
      <c r="F72" s="3">
        <f t="shared" si="4"/>
        <v>85000</v>
      </c>
      <c r="G72" s="8">
        <f t="shared" ref="G72:G76" si="8">+E72*F72</f>
        <v>1530000</v>
      </c>
    </row>
    <row r="73" spans="1:7" x14ac:dyDescent="0.3">
      <c r="A73" s="1" t="s">
        <v>150</v>
      </c>
      <c r="B73" s="1" t="str">
        <f>+VLOOKUP(A73,ENTRADAS!$B:$G,2,FALSE)</f>
        <v>ADIDAS EQT CAFÉ AZUL</v>
      </c>
      <c r="C73" s="1">
        <f>+SUMIF(ENTRADAS!B:B,A73,ENTRADAS!E:E)</f>
        <v>24</v>
      </c>
      <c r="D73" s="1">
        <f>+SUMIF(VENTAS!C:C,INVENTARIO!A73,VENTAS!B:B)</f>
        <v>12</v>
      </c>
      <c r="E73" s="1">
        <f t="shared" si="7"/>
        <v>12</v>
      </c>
      <c r="F73" s="3">
        <f t="shared" si="4"/>
        <v>85000</v>
      </c>
      <c r="G73" s="8">
        <f t="shared" si="8"/>
        <v>1020000</v>
      </c>
    </row>
    <row r="74" spans="1:7" x14ac:dyDescent="0.3">
      <c r="A74" s="1" t="s">
        <v>156</v>
      </c>
      <c r="B74" s="1" t="str">
        <f>+VLOOKUP(A74,ENTRADAS!$B:$G,2,FALSE)</f>
        <v>ADIDAS SUPERMAGMA GRIS</v>
      </c>
      <c r="C74" s="1">
        <f>+SUMIF(ENTRADAS!B:B,A74,ENTRADAS!E:E)</f>
        <v>24</v>
      </c>
      <c r="D74" s="1">
        <f>+SUMIF(VENTAS!C:C,INVENTARIO!A74,VENTAS!B:B)</f>
        <v>2</v>
      </c>
      <c r="E74" s="1">
        <f t="shared" ref="E74:E81" si="9">+C74-D74</f>
        <v>22</v>
      </c>
      <c r="F74" s="3">
        <f t="shared" ref="F74:F81" si="10">+VLOOKUP(A74,ENTRADAS,5,0)</f>
        <v>90000</v>
      </c>
      <c r="G74" s="8">
        <f t="shared" ref="G74:G81" si="11">+E74*F74</f>
        <v>1980000</v>
      </c>
    </row>
    <row r="75" spans="1:7" x14ac:dyDescent="0.3">
      <c r="A75" s="1" t="s">
        <v>157</v>
      </c>
      <c r="B75" s="1" t="str">
        <f>+VLOOKUP(A75,ENTRADAS!$B:$G,2,FALSE)</f>
        <v>ADIDAS SUEPRMAGMA AZUL</v>
      </c>
      <c r="C75" s="1">
        <f>+SUMIF(ENTRADAS!B:B,A75,ENTRADAS!E:E)</f>
        <v>24</v>
      </c>
      <c r="D75" s="1">
        <f>+SUMIF(VENTAS!C:C,INVENTARIO!A75,VENTAS!B:B)</f>
        <v>7</v>
      </c>
      <c r="E75" s="1">
        <f t="shared" si="9"/>
        <v>17</v>
      </c>
      <c r="F75" s="3">
        <f t="shared" si="10"/>
        <v>90000</v>
      </c>
      <c r="G75" s="8">
        <f t="shared" si="11"/>
        <v>1530000</v>
      </c>
    </row>
    <row r="76" spans="1:7" x14ac:dyDescent="0.3">
      <c r="A76" s="1" t="s">
        <v>158</v>
      </c>
      <c r="B76" s="1" t="str">
        <f>+VLOOKUP(A76,ENTRADAS!$B:$G,2,FALSE)</f>
        <v>ADIDAS SUPERMAGMA NEGRO NARANJA</v>
      </c>
      <c r="C76" s="1">
        <f>+SUMIF(ENTRADAS!B:B,A76,ENTRADAS!E:E)</f>
        <v>24</v>
      </c>
      <c r="D76" s="1">
        <f>+SUMIF(VENTAS!C:C,INVENTARIO!A76,VENTAS!B:B)</f>
        <v>8</v>
      </c>
      <c r="E76" s="1">
        <f t="shared" si="9"/>
        <v>16</v>
      </c>
      <c r="F76" s="3">
        <f t="shared" si="10"/>
        <v>90000</v>
      </c>
      <c r="G76" s="8">
        <f t="shared" si="11"/>
        <v>1440000</v>
      </c>
    </row>
    <row r="77" spans="1:7" x14ac:dyDescent="0.3">
      <c r="A77" s="1" t="s">
        <v>163</v>
      </c>
      <c r="B77" s="1" t="str">
        <f>+VLOOKUP(A77,ENTRADAS!$B:$G,2,FALSE)</f>
        <v>REEBOK CLASSIC CAFÉ</v>
      </c>
      <c r="C77" s="1">
        <f>+SUMIF(ENTRADAS!B:B,A77,ENTRADAS!E:E)</f>
        <v>23</v>
      </c>
      <c r="D77" s="1">
        <f>+SUMIF(VENTAS!C:C,INVENTARIO!A77,VENTAS!B:B)</f>
        <v>0</v>
      </c>
      <c r="E77" s="1">
        <f t="shared" si="9"/>
        <v>23</v>
      </c>
      <c r="F77" s="3">
        <f t="shared" si="10"/>
        <v>80000</v>
      </c>
      <c r="G77" s="8">
        <f t="shared" si="11"/>
        <v>1840000</v>
      </c>
    </row>
    <row r="78" spans="1:7" x14ac:dyDescent="0.3">
      <c r="A78" s="1" t="s">
        <v>164</v>
      </c>
      <c r="B78" s="1" t="str">
        <f>+VLOOKUP(A78,ENTRADAS!$B:$G,2,FALSE)</f>
        <v>REEBOK CLASSIC GRIS</v>
      </c>
      <c r="C78" s="1">
        <f>+SUMIF(ENTRADAS!B:B,A78,ENTRADAS!E:E)</f>
        <v>23</v>
      </c>
      <c r="D78" s="1">
        <f>+SUMIF(VENTAS!C:C,INVENTARIO!A78,VENTAS!B:B)</f>
        <v>1</v>
      </c>
      <c r="E78" s="1">
        <f t="shared" si="9"/>
        <v>22</v>
      </c>
      <c r="F78" s="3">
        <f t="shared" si="10"/>
        <v>80000</v>
      </c>
      <c r="G78" s="8">
        <f t="shared" si="11"/>
        <v>1760000</v>
      </c>
    </row>
    <row r="79" spans="1:7" x14ac:dyDescent="0.3">
      <c r="A79" s="1" t="s">
        <v>165</v>
      </c>
      <c r="B79" s="1" t="str">
        <f>+VLOOKUP(A79,ENTRADAS!$B:$G,2,FALSE)</f>
        <v>REEBOK CLASSIC AZUL</v>
      </c>
      <c r="C79" s="1">
        <f>+SUMIF(ENTRADAS!B:B,A79,ENTRADAS!E:E)</f>
        <v>22</v>
      </c>
      <c r="D79" s="1">
        <f>+SUMIF(VENTAS!C:C,INVENTARIO!A79,VENTAS!B:B)</f>
        <v>0</v>
      </c>
      <c r="E79" s="1">
        <f t="shared" si="9"/>
        <v>22</v>
      </c>
      <c r="F79" s="3">
        <f t="shared" si="10"/>
        <v>80000</v>
      </c>
      <c r="G79" s="8">
        <f t="shared" si="11"/>
        <v>1760000</v>
      </c>
    </row>
    <row r="80" spans="1:7" x14ac:dyDescent="0.3">
      <c r="A80" s="1" t="s">
        <v>166</v>
      </c>
      <c r="B80" s="1" t="str">
        <f>+VLOOKUP(A80,ENTRADAS!$B:$G,2,FALSE)</f>
        <v>JORDAN 3 LEVI´S BEIGE</v>
      </c>
      <c r="C80" s="1">
        <f>+SUMIF(ENTRADAS!B:B,A80,ENTRADAS!E:E)</f>
        <v>48</v>
      </c>
      <c r="D80" s="1">
        <f>+SUMIF(VENTAS!C:C,INVENTARIO!A80,VENTAS!B:B)</f>
        <v>2</v>
      </c>
      <c r="E80" s="1">
        <f t="shared" si="9"/>
        <v>46</v>
      </c>
      <c r="F80" s="3">
        <f t="shared" si="10"/>
        <v>95000</v>
      </c>
      <c r="G80" s="8">
        <f t="shared" si="11"/>
        <v>4370000</v>
      </c>
    </row>
    <row r="81" spans="1:7" x14ac:dyDescent="0.3">
      <c r="A81" s="1" t="s">
        <v>167</v>
      </c>
      <c r="B81" s="1" t="str">
        <f>+VLOOKUP(A81,ENTRADAS!$B:$G,2,FALSE)</f>
        <v>ADIDAS BOUNCE AZUL BLANCO</v>
      </c>
      <c r="C81" s="1">
        <f>+SUMIF(ENTRADAS!B:B,A81,ENTRADAS!E:E)</f>
        <v>3</v>
      </c>
      <c r="D81" s="1">
        <f>+SUMIF(VENTAS!C:C,INVENTARIO!A81,VENTAS!B:B)</f>
        <v>2</v>
      </c>
      <c r="E81" s="1">
        <f t="shared" si="9"/>
        <v>1</v>
      </c>
      <c r="F81" s="3">
        <f t="shared" si="10"/>
        <v>80000</v>
      </c>
      <c r="G81" s="8">
        <f t="shared" si="11"/>
        <v>80000</v>
      </c>
    </row>
  </sheetData>
  <autoFilter ref="A1:G76" xr:uid="{83E0471C-B9E8-4EDB-AE4F-1522F636CA48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36BA-AD3D-4093-AF03-C8716257F497}">
  <dimension ref="A1:I247"/>
  <sheetViews>
    <sheetView workbookViewId="0">
      <pane ySplit="1" topLeftCell="A71" activePane="bottomLeft" state="frozen"/>
      <selection pane="bottomLeft" activeCell="A248" sqref="A248"/>
    </sheetView>
  </sheetViews>
  <sheetFormatPr baseColWidth="10" defaultRowHeight="14.4" x14ac:dyDescent="0.3"/>
  <cols>
    <col min="1" max="1" width="11.5546875" style="1" bestFit="1" customWidth="1"/>
    <col min="2" max="2" width="15.33203125" style="1" bestFit="1" customWidth="1"/>
    <col min="3" max="3" width="13.21875" style="1" bestFit="1" customWidth="1"/>
    <col min="4" max="4" width="33.5546875" style="1" bestFit="1" customWidth="1"/>
    <col min="5" max="5" width="17.109375" style="3" bestFit="1" customWidth="1"/>
    <col min="6" max="6" width="16.6640625" style="3" bestFit="1" customWidth="1"/>
    <col min="7" max="7" width="14.21875" style="3" bestFit="1" customWidth="1"/>
    <col min="8" max="8" width="7.88671875" style="1" bestFit="1" customWidth="1"/>
    <col min="9" max="9" width="6.88671875" style="1" bestFit="1" customWidth="1"/>
    <col min="10" max="16384" width="11.5546875" style="1"/>
  </cols>
  <sheetData>
    <row r="1" spans="1:9" s="5" customFormat="1" ht="15.6" x14ac:dyDescent="0.3">
      <c r="A1" s="4" t="s">
        <v>0</v>
      </c>
      <c r="B1" s="5" t="s">
        <v>2</v>
      </c>
      <c r="C1" s="5" t="s">
        <v>4</v>
      </c>
      <c r="D1" s="5" t="s">
        <v>1</v>
      </c>
      <c r="E1" s="6" t="s">
        <v>155</v>
      </c>
      <c r="F1" s="6"/>
      <c r="G1" s="6"/>
      <c r="I1" s="4"/>
    </row>
    <row r="2" spans="1:9" x14ac:dyDescent="0.3">
      <c r="A2" s="2">
        <v>46150</v>
      </c>
      <c r="B2" s="1">
        <v>1</v>
      </c>
      <c r="C2" s="2" t="s">
        <v>139</v>
      </c>
      <c r="D2" s="1" t="str">
        <f>+VLOOKUP(C2,ENTRADAS!B:C,2,0)</f>
        <v>NIKE SB BLANCO MORADO</v>
      </c>
      <c r="E2" s="3">
        <f>+VLOOKUP(C2,ENTRADAS!B:H,7,0)</f>
        <v>105000</v>
      </c>
    </row>
    <row r="3" spans="1:9" x14ac:dyDescent="0.3">
      <c r="A3" s="2">
        <v>46150</v>
      </c>
      <c r="B3" s="1">
        <v>1</v>
      </c>
      <c r="C3" s="2" t="s">
        <v>110</v>
      </c>
      <c r="D3" s="1" t="str">
        <f>+VLOOKUP(C3,ENTRADAS!B:C,2,0)</f>
        <v>LOUIS VUITTON G5 GRIS</v>
      </c>
      <c r="E3" s="3">
        <f>+VLOOKUP(C3,ENTRADAS!B:H,7,0)</f>
        <v>200000</v>
      </c>
    </row>
    <row r="4" spans="1:9" x14ac:dyDescent="0.3">
      <c r="A4" s="2">
        <v>46150</v>
      </c>
      <c r="B4" s="1">
        <v>1</v>
      </c>
      <c r="C4" s="2" t="s">
        <v>147</v>
      </c>
      <c r="D4" s="1" t="str">
        <f>+VLOOKUP(C4,ENTRADAS!B:C,2,0)</f>
        <v>SKECHERS DLITES NEGRA</v>
      </c>
      <c r="E4" s="3">
        <f>+VLOOKUP(C4,ENTRADAS!B:H,7,0)</f>
        <v>105000</v>
      </c>
    </row>
    <row r="5" spans="1:9" x14ac:dyDescent="0.3">
      <c r="A5" s="2">
        <v>46150</v>
      </c>
      <c r="B5" s="1">
        <v>1</v>
      </c>
      <c r="C5" s="2" t="s">
        <v>85</v>
      </c>
      <c r="D5" s="1" t="str">
        <f>+VLOOKUP(C5,ENTRADAS!B:C,2,0)</f>
        <v xml:space="preserve">ADIDAS PUREBOOST NEGRO BLANCO </v>
      </c>
      <c r="E5" s="3">
        <f>+VLOOKUP(C5,ENTRADAS!B:H,7,0)</f>
        <v>105000</v>
      </c>
    </row>
    <row r="6" spans="1:9" x14ac:dyDescent="0.3">
      <c r="A6" s="2">
        <v>46150</v>
      </c>
      <c r="B6" s="1">
        <v>1</v>
      </c>
      <c r="C6" s="2" t="s">
        <v>110</v>
      </c>
      <c r="D6" s="1" t="str">
        <f>+VLOOKUP(C6,ENTRADAS!B:C,2,0)</f>
        <v>LOUIS VUITTON G5 GRIS</v>
      </c>
      <c r="E6" s="3">
        <f>+VLOOKUP(C6,ENTRADAS!B:H,7,0)</f>
        <v>200000</v>
      </c>
    </row>
    <row r="7" spans="1:9" x14ac:dyDescent="0.3">
      <c r="A7" s="2">
        <v>46150</v>
      </c>
      <c r="B7" s="1">
        <v>1</v>
      </c>
      <c r="C7" s="2" t="s">
        <v>87</v>
      </c>
      <c r="D7" s="1" t="str">
        <f>+VLOOKUP(C7,ENTRADAS!B:C,2,0)</f>
        <v>ADIDAS SAMBA CLASICA NEGRO</v>
      </c>
      <c r="E7" s="3">
        <f>+VLOOKUP(C7,ENTRADAS!B:H,7,0)</f>
        <v>90000</v>
      </c>
    </row>
    <row r="8" spans="1:9" x14ac:dyDescent="0.3">
      <c r="A8" s="2">
        <v>46150</v>
      </c>
      <c r="B8" s="1">
        <v>1</v>
      </c>
      <c r="C8" s="2" t="s">
        <v>87</v>
      </c>
      <c r="D8" s="1" t="str">
        <f>+VLOOKUP(C8,ENTRADAS!B:C,2,0)</f>
        <v>ADIDAS SAMBA CLASICA NEGRO</v>
      </c>
      <c r="E8" s="3">
        <f>+VLOOKUP(C8,ENTRADAS!B:H,7,0)</f>
        <v>90000</v>
      </c>
    </row>
    <row r="9" spans="1:9" x14ac:dyDescent="0.3">
      <c r="A9" s="2">
        <v>46150</v>
      </c>
      <c r="B9" s="1">
        <v>1</v>
      </c>
      <c r="C9" s="2" t="s">
        <v>90</v>
      </c>
      <c r="D9" s="1" t="str">
        <f>+VLOOKUP(C9,ENTRADAS!B:C,2,0)</f>
        <v>ADIDAS SPEZIAL VINOTINTO</v>
      </c>
      <c r="E9" s="3">
        <f>+VLOOKUP(C9,ENTRADAS!B:H,7,0)</f>
        <v>105000</v>
      </c>
    </row>
    <row r="10" spans="1:9" x14ac:dyDescent="0.3">
      <c r="A10" s="2">
        <v>46151</v>
      </c>
      <c r="B10" s="1">
        <v>1</v>
      </c>
      <c r="C10" s="2" t="s">
        <v>140</v>
      </c>
      <c r="D10" s="1" t="str">
        <f>+VLOOKUP(C10,ENTRADAS!B:C,2,0)</f>
        <v>NIKE SB VERDE OLIVA</v>
      </c>
      <c r="E10" s="3">
        <v>110000</v>
      </c>
    </row>
    <row r="11" spans="1:9" x14ac:dyDescent="0.3">
      <c r="A11" s="2">
        <v>46151</v>
      </c>
      <c r="B11" s="1">
        <v>1</v>
      </c>
      <c r="C11" s="2" t="s">
        <v>148</v>
      </c>
      <c r="D11" s="1" t="str">
        <f>+VLOOKUP(C11,ENTRADAS!B:C,2,0)</f>
        <v>SKECHERS ONE BLANCO</v>
      </c>
      <c r="E11" s="3">
        <f>+VLOOKUP(C11,ENTRADAS!B:H,7,0)</f>
        <v>105000</v>
      </c>
    </row>
    <row r="12" spans="1:9" x14ac:dyDescent="0.3">
      <c r="A12" s="2">
        <v>46151</v>
      </c>
      <c r="B12" s="1">
        <v>1</v>
      </c>
      <c r="C12" s="2" t="s">
        <v>87</v>
      </c>
      <c r="D12" s="1" t="str">
        <f>+VLOOKUP(C12,ENTRADAS!B:C,2,0)</f>
        <v>ADIDAS SAMBA CLASICA NEGRO</v>
      </c>
      <c r="E12" s="3">
        <f>+VLOOKUP(C12,ENTRADAS!B:H,7,0)</f>
        <v>90000</v>
      </c>
    </row>
    <row r="13" spans="1:9" x14ac:dyDescent="0.3">
      <c r="A13" s="2">
        <v>46151</v>
      </c>
      <c r="B13" s="1">
        <v>1</v>
      </c>
      <c r="C13" s="2" t="s">
        <v>116</v>
      </c>
      <c r="D13" s="1" t="str">
        <f>+VLOOKUP(C13,ENTRADAS!B:C,2,0)</f>
        <v>NEW BALANCE 530 BLANCO PLATEADO</v>
      </c>
      <c r="E13" s="3">
        <v>100000</v>
      </c>
    </row>
    <row r="14" spans="1:9" x14ac:dyDescent="0.3">
      <c r="A14" s="2">
        <v>46151</v>
      </c>
      <c r="B14" s="1">
        <v>1</v>
      </c>
      <c r="C14" s="2" t="s">
        <v>138</v>
      </c>
      <c r="D14" s="1" t="str">
        <f>+VLOOKUP(C14,ENTRADAS!B:C,2,0)</f>
        <v>NIKE FREE NEGRO BLANCO</v>
      </c>
      <c r="E14" s="3">
        <f>+VLOOKUP(C14,ENTRADAS!B:H,7,0)</f>
        <v>100000</v>
      </c>
    </row>
    <row r="15" spans="1:9" x14ac:dyDescent="0.3">
      <c r="A15" s="2">
        <v>46151</v>
      </c>
      <c r="B15" s="1">
        <v>1</v>
      </c>
      <c r="C15" s="2" t="s">
        <v>142</v>
      </c>
      <c r="D15" s="1" t="str">
        <f>+VLOOKUP(C15,ENTRADAS!B:C,2,0)</f>
        <v>NIKE TN FULL NEGRO</v>
      </c>
      <c r="E15" s="3">
        <v>100000</v>
      </c>
    </row>
    <row r="16" spans="1:9" x14ac:dyDescent="0.3">
      <c r="A16" s="2">
        <v>46151</v>
      </c>
      <c r="B16" s="1">
        <v>1</v>
      </c>
      <c r="C16" s="2" t="s">
        <v>139</v>
      </c>
      <c r="D16" s="1" t="str">
        <f>+VLOOKUP(C16,ENTRADAS!B:C,2,0)</f>
        <v>NIKE SB BLANCO MORADO</v>
      </c>
      <c r="E16" s="3">
        <f>+VLOOKUP(C16,ENTRADAS!B:H,7,0)</f>
        <v>105000</v>
      </c>
    </row>
    <row r="17" spans="1:5" x14ac:dyDescent="0.3">
      <c r="A17" s="2">
        <v>46151</v>
      </c>
      <c r="B17" s="1">
        <v>1</v>
      </c>
      <c r="C17" s="2" t="s">
        <v>139</v>
      </c>
      <c r="D17" s="1" t="str">
        <f>+VLOOKUP(C17,ENTRADAS!B:C,2,0)</f>
        <v>NIKE SB BLANCO MORADO</v>
      </c>
      <c r="E17" s="3">
        <f>+VLOOKUP(C17,ENTRADAS!B:H,7,0)</f>
        <v>105000</v>
      </c>
    </row>
    <row r="18" spans="1:5" x14ac:dyDescent="0.3">
      <c r="A18" s="2">
        <v>46152</v>
      </c>
      <c r="B18" s="1">
        <v>1</v>
      </c>
      <c r="C18" s="2" t="s">
        <v>129</v>
      </c>
      <c r="D18" s="1" t="str">
        <f>+VLOOKUP(C18,ENTRADAS!B:C,2,0)</f>
        <v>NIKE AF1 HIGTH BLANCA</v>
      </c>
      <c r="E18" s="3">
        <v>100000</v>
      </c>
    </row>
    <row r="19" spans="1:5" x14ac:dyDescent="0.3">
      <c r="A19" s="2">
        <v>46152</v>
      </c>
      <c r="B19" s="1">
        <v>1</v>
      </c>
      <c r="C19" s="2" t="s">
        <v>111</v>
      </c>
      <c r="D19" s="1" t="str">
        <f>+VLOOKUP(C19,ENTRADAS!B:C,2,0)</f>
        <v>LOUIS VUITTON G5 NEGRA</v>
      </c>
      <c r="E19" s="3">
        <f>+VLOOKUP(C19,ENTRADAS!B:H,7,0)</f>
        <v>200000</v>
      </c>
    </row>
    <row r="20" spans="1:5" x14ac:dyDescent="0.3">
      <c r="A20" s="2">
        <v>46152</v>
      </c>
      <c r="B20" s="1">
        <v>1</v>
      </c>
      <c r="C20" s="2" t="s">
        <v>140</v>
      </c>
      <c r="D20" s="1" t="str">
        <f>+VLOOKUP(C20,ENTRADAS!B:C,2,0)</f>
        <v>NIKE SB VERDE OLIVA</v>
      </c>
      <c r="E20" s="3">
        <f>+VLOOKUP(C20,ENTRADAS!B:H,7,0)</f>
        <v>100000</v>
      </c>
    </row>
    <row r="21" spans="1:5" x14ac:dyDescent="0.3">
      <c r="A21" s="2">
        <v>46152</v>
      </c>
      <c r="B21" s="1">
        <v>1</v>
      </c>
      <c r="C21" s="2" t="s">
        <v>111</v>
      </c>
      <c r="D21" s="1" t="str">
        <f>+VLOOKUP(C21,ENTRADAS!B:C,2,0)</f>
        <v>LOUIS VUITTON G5 NEGRA</v>
      </c>
      <c r="E21" s="3">
        <f>+VLOOKUP(C21,ENTRADAS!B:H,7,0)</f>
        <v>200000</v>
      </c>
    </row>
    <row r="22" spans="1:5" x14ac:dyDescent="0.3">
      <c r="A22" s="2">
        <v>46153</v>
      </c>
      <c r="B22" s="1">
        <v>1</v>
      </c>
      <c r="C22" s="2" t="s">
        <v>85</v>
      </c>
      <c r="D22" s="1" t="str">
        <f>+VLOOKUP(C22,ENTRADAS!B:C,2,0)</f>
        <v xml:space="preserve">ADIDAS PUREBOOST NEGRO BLANCO </v>
      </c>
      <c r="E22" s="3">
        <f>+VLOOKUP(C22,ENTRADAS!B:H,7,0)</f>
        <v>105000</v>
      </c>
    </row>
    <row r="23" spans="1:5" x14ac:dyDescent="0.3">
      <c r="A23" s="2">
        <v>46153</v>
      </c>
      <c r="B23" s="1">
        <v>1</v>
      </c>
      <c r="C23" s="2" t="s">
        <v>86</v>
      </c>
      <c r="D23" s="1" t="str">
        <f>+VLOOKUP(C23,ENTRADAS!B:C,2,0)</f>
        <v>ADIDAS SAMBA BLANCA CLASICA</v>
      </c>
      <c r="E23" s="3">
        <f>+VLOOKUP(C23,ENTRADAS!B:H,7,0)</f>
        <v>90000</v>
      </c>
    </row>
    <row r="24" spans="1:5" x14ac:dyDescent="0.3">
      <c r="A24" s="2">
        <v>46153</v>
      </c>
      <c r="B24" s="1">
        <v>1</v>
      </c>
      <c r="C24" s="2" t="s">
        <v>116</v>
      </c>
      <c r="D24" s="1" t="str">
        <f>+VLOOKUP(C24,ENTRADAS!B:C,2,0)</f>
        <v>NEW BALANCE 530 BLANCO PLATEADO</v>
      </c>
      <c r="E24" s="3">
        <f>+VLOOKUP(C24,ENTRADAS!B:H,7,0)</f>
        <v>100000</v>
      </c>
    </row>
    <row r="25" spans="1:5" x14ac:dyDescent="0.3">
      <c r="A25" s="2">
        <v>46153</v>
      </c>
      <c r="B25" s="1">
        <v>1</v>
      </c>
      <c r="C25" s="2" t="s">
        <v>111</v>
      </c>
      <c r="D25" s="1" t="str">
        <f>+VLOOKUP(C25,ENTRADAS!B:C,2,0)</f>
        <v>LOUIS VUITTON G5 NEGRA</v>
      </c>
      <c r="E25" s="3">
        <f>+VLOOKUP(C25,ENTRADAS!B:H,7,0)</f>
        <v>200000</v>
      </c>
    </row>
    <row r="26" spans="1:5" x14ac:dyDescent="0.3">
      <c r="A26" s="2">
        <v>46154</v>
      </c>
      <c r="B26" s="1">
        <v>1</v>
      </c>
      <c r="C26" s="2" t="s">
        <v>117</v>
      </c>
      <c r="D26" s="1" t="str">
        <f>+VLOOKUP(C26,ENTRADAS!B:C,2,0)</f>
        <v>NEW BALANCE 574 GRIS</v>
      </c>
      <c r="E26" s="3">
        <v>100000</v>
      </c>
    </row>
    <row r="27" spans="1:5" x14ac:dyDescent="0.3">
      <c r="A27" s="2">
        <v>46154</v>
      </c>
      <c r="B27" s="1">
        <v>1</v>
      </c>
      <c r="C27" s="2" t="s">
        <v>111</v>
      </c>
      <c r="D27" s="1" t="str">
        <f>+VLOOKUP(C27,ENTRADAS!B:C,2,0)</f>
        <v>LOUIS VUITTON G5 NEGRA</v>
      </c>
      <c r="E27" s="3">
        <f>+VLOOKUP(C27,ENTRADAS!B:H,7,0)</f>
        <v>200000</v>
      </c>
    </row>
    <row r="28" spans="1:5" x14ac:dyDescent="0.3">
      <c r="A28" s="2">
        <v>46154</v>
      </c>
      <c r="B28" s="1">
        <v>1</v>
      </c>
      <c r="C28" s="2" t="s">
        <v>110</v>
      </c>
      <c r="D28" s="1" t="str">
        <f>+VLOOKUP(C28,ENTRADAS!B:C,2,0)</f>
        <v>LOUIS VUITTON G5 GRIS</v>
      </c>
      <c r="E28" s="3">
        <f>+VLOOKUP(C28,ENTRADAS!B:H,7,0)</f>
        <v>200000</v>
      </c>
    </row>
    <row r="29" spans="1:5" x14ac:dyDescent="0.3">
      <c r="A29" s="2">
        <v>46154</v>
      </c>
      <c r="B29" s="1">
        <v>1</v>
      </c>
      <c r="C29" s="2" t="s">
        <v>94</v>
      </c>
      <c r="D29" s="1" t="str">
        <f>+VLOOKUP(C29,ENTRADAS!B:C,2,0)</f>
        <v>ADIDAS TERREX VERDE NARANJA</v>
      </c>
      <c r="E29" s="3">
        <f>+VLOOKUP(C29,ENTRADAS!B:H,7,0)</f>
        <v>110000</v>
      </c>
    </row>
    <row r="30" spans="1:5" x14ac:dyDescent="0.3">
      <c r="A30" s="2">
        <v>46154</v>
      </c>
      <c r="B30" s="1">
        <v>1</v>
      </c>
      <c r="C30" s="2" t="s">
        <v>86</v>
      </c>
      <c r="D30" s="1" t="str">
        <f>+VLOOKUP(C30,ENTRADAS!B:C,2,0)</f>
        <v>ADIDAS SAMBA BLANCA CLASICA</v>
      </c>
      <c r="E30" s="3">
        <f>+VLOOKUP(C30,ENTRADAS!B:H,7,0)</f>
        <v>90000</v>
      </c>
    </row>
    <row r="31" spans="1:5" x14ac:dyDescent="0.3">
      <c r="A31" s="2">
        <v>46154</v>
      </c>
      <c r="B31" s="1">
        <v>1</v>
      </c>
      <c r="C31" s="2" t="s">
        <v>130</v>
      </c>
      <c r="D31" s="1" t="str">
        <f>+VLOOKUP(C31,ENTRADAS!B:C,2,0)</f>
        <v>NIKE AF1 LOW BLANCO</v>
      </c>
      <c r="E31" s="3">
        <f>+VLOOKUP(C31,ENTRADAS!B:H,7,0)</f>
        <v>90000</v>
      </c>
    </row>
    <row r="32" spans="1:5" x14ac:dyDescent="0.3">
      <c r="A32" s="2">
        <v>46154</v>
      </c>
      <c r="B32" s="1">
        <v>1</v>
      </c>
      <c r="C32" s="2" t="s">
        <v>115</v>
      </c>
      <c r="D32" s="1" t="str">
        <f>+VLOOKUP(C32,ENTRADAS!B:C,2,0)</f>
        <v>NEW BALANCE 530 BLANCO AZUL</v>
      </c>
      <c r="E32" s="3">
        <v>90000</v>
      </c>
    </row>
    <row r="33" spans="1:5" x14ac:dyDescent="0.3">
      <c r="A33" s="2">
        <v>46155</v>
      </c>
      <c r="B33" s="1">
        <v>1</v>
      </c>
      <c r="C33" s="2" t="s">
        <v>87</v>
      </c>
      <c r="D33" s="1" t="str">
        <f>+VLOOKUP(C33,ENTRADAS!B:C,2,0)</f>
        <v>ADIDAS SAMBA CLASICA NEGRO</v>
      </c>
      <c r="E33" s="3">
        <f>+VLOOKUP(C33,ENTRADAS!B:H,7,0)</f>
        <v>90000</v>
      </c>
    </row>
    <row r="34" spans="1:5" x14ac:dyDescent="0.3">
      <c r="A34" s="2">
        <v>46155</v>
      </c>
      <c r="B34" s="1">
        <v>1</v>
      </c>
      <c r="C34" s="2" t="s">
        <v>122</v>
      </c>
      <c r="D34" s="1" t="str">
        <f>+VLOOKUP(C34,ENTRADAS!B:C,2,0)</f>
        <v>NEW BALANCE 9060 NEGRO BLANCO</v>
      </c>
      <c r="E34" s="3">
        <f>+VLOOKUP(C34,ENTRADAS!B:H,7,0)</f>
        <v>110000</v>
      </c>
    </row>
    <row r="35" spans="1:5" x14ac:dyDescent="0.3">
      <c r="A35" s="2">
        <v>46155</v>
      </c>
      <c r="B35" s="1">
        <v>6</v>
      </c>
      <c r="C35" s="2" t="s">
        <v>84</v>
      </c>
      <c r="D35" s="1" t="str">
        <f>+VLOOKUP(C35,ENTRADAS!B:C,2,0)</f>
        <v>ADIDAS NAS TASE BLANCO AZUL</v>
      </c>
      <c r="E35" s="3">
        <v>600000</v>
      </c>
    </row>
    <row r="36" spans="1:5" x14ac:dyDescent="0.3">
      <c r="A36" s="2">
        <v>46155</v>
      </c>
      <c r="B36" s="1">
        <v>1</v>
      </c>
      <c r="C36" s="2" t="s">
        <v>86</v>
      </c>
      <c r="D36" s="1" t="str">
        <f>+VLOOKUP(C36,ENTRADAS!B:C,2,0)</f>
        <v>ADIDAS SAMBA BLANCA CLASICA</v>
      </c>
      <c r="E36" s="3">
        <f>+VLOOKUP(C36,ENTRADAS!B:H,7,0)</f>
        <v>90000</v>
      </c>
    </row>
    <row r="37" spans="1:5" x14ac:dyDescent="0.3">
      <c r="A37" s="2">
        <v>46155</v>
      </c>
      <c r="B37" s="1">
        <v>1</v>
      </c>
      <c r="C37" s="1" t="s">
        <v>101</v>
      </c>
      <c r="D37" s="1" t="str">
        <f>+VLOOKUP(C37,ENTRADAS!B:C,2,0)</f>
        <v>FILA RAY BEIGE MORADO</v>
      </c>
      <c r="E37" s="3">
        <f>+VLOOKUP(C37,ENTRADAS!B:H,7,0)</f>
        <v>105000</v>
      </c>
    </row>
    <row r="38" spans="1:5" x14ac:dyDescent="0.3">
      <c r="A38" s="2">
        <v>46156</v>
      </c>
      <c r="B38" s="1">
        <v>1</v>
      </c>
      <c r="C38" s="1" t="s">
        <v>144</v>
      </c>
      <c r="D38" s="1" t="str">
        <f>+VLOOKUP(C38,ENTRADAS!B:C,2,0)</f>
        <v>NIKE VOMERO 5 BLANCO PLATEADO</v>
      </c>
      <c r="E38" s="3">
        <f>+VLOOKUP(C38,ENTRADAS!B:H,7,0)</f>
        <v>100000</v>
      </c>
    </row>
    <row r="39" spans="1:5" x14ac:dyDescent="0.3">
      <c r="A39" s="2">
        <v>46156</v>
      </c>
      <c r="B39" s="1">
        <v>1</v>
      </c>
      <c r="C39" s="1" t="s">
        <v>116</v>
      </c>
      <c r="D39" s="1" t="str">
        <f>+VLOOKUP(C39,ENTRADAS!B:C,2,0)</f>
        <v>NEW BALANCE 530 BLANCO PLATEADO</v>
      </c>
      <c r="E39" s="3">
        <f>+VLOOKUP(C39,ENTRADAS!B:H,7,0)</f>
        <v>100000</v>
      </c>
    </row>
    <row r="40" spans="1:5" x14ac:dyDescent="0.3">
      <c r="A40" s="2">
        <v>46156</v>
      </c>
      <c r="B40" s="1">
        <v>1</v>
      </c>
      <c r="C40" s="1" t="s">
        <v>116</v>
      </c>
      <c r="D40" s="1" t="str">
        <f>+VLOOKUP(C40,ENTRADAS!B:C,2,0)</f>
        <v>NEW BALANCE 530 BLANCO PLATEADO</v>
      </c>
      <c r="E40" s="3">
        <f>+VLOOKUP(C40,ENTRADAS!B:H,7,0)</f>
        <v>100000</v>
      </c>
    </row>
    <row r="41" spans="1:5" x14ac:dyDescent="0.3">
      <c r="A41" s="2">
        <v>46156</v>
      </c>
      <c r="B41" s="1">
        <v>1</v>
      </c>
      <c r="C41" s="1" t="s">
        <v>122</v>
      </c>
      <c r="D41" s="1" t="str">
        <f>+VLOOKUP(C41,ENTRADAS!B:C,2,0)</f>
        <v>NEW BALANCE 9060 NEGRO BLANCO</v>
      </c>
      <c r="E41" s="3">
        <f>+VLOOKUP(C41,ENTRADAS!B:H,7,0)</f>
        <v>110000</v>
      </c>
    </row>
    <row r="42" spans="1:5" x14ac:dyDescent="0.3">
      <c r="A42" s="2">
        <v>46156</v>
      </c>
      <c r="B42" s="1">
        <v>1</v>
      </c>
      <c r="C42" s="1" t="s">
        <v>90</v>
      </c>
      <c r="D42" s="1" t="str">
        <f>+VLOOKUP(C42,ENTRADAS!B:C,2,0)</f>
        <v>ADIDAS SPEZIAL VINOTINTO</v>
      </c>
      <c r="E42" s="3">
        <f>+VLOOKUP(C42,ENTRADAS!B:H,7,0)</f>
        <v>105000</v>
      </c>
    </row>
    <row r="43" spans="1:5" x14ac:dyDescent="0.3">
      <c r="A43" s="2">
        <v>46156</v>
      </c>
      <c r="B43" s="1">
        <v>1</v>
      </c>
      <c r="C43" s="1" t="s">
        <v>139</v>
      </c>
      <c r="D43" s="1" t="str">
        <f>+VLOOKUP(C43,ENTRADAS!B:C,2,0)</f>
        <v>NIKE SB BLANCO MORADO</v>
      </c>
      <c r="E43" s="3">
        <f>+VLOOKUP(C43,ENTRADAS!B:H,7,0)</f>
        <v>105000</v>
      </c>
    </row>
    <row r="44" spans="1:5" x14ac:dyDescent="0.3">
      <c r="A44" s="2">
        <v>46156</v>
      </c>
      <c r="B44" s="1">
        <v>1</v>
      </c>
      <c r="C44" s="1" t="s">
        <v>139</v>
      </c>
      <c r="D44" s="1" t="str">
        <f>+VLOOKUP(C44,ENTRADAS!B:C,2,0)</f>
        <v>NIKE SB BLANCO MORADO</v>
      </c>
      <c r="E44" s="3">
        <f>+VLOOKUP(C44,ENTRADAS!B:H,7,0)</f>
        <v>105000</v>
      </c>
    </row>
    <row r="45" spans="1:5" x14ac:dyDescent="0.3">
      <c r="A45" s="2">
        <v>46157</v>
      </c>
      <c r="B45" s="1">
        <v>1</v>
      </c>
      <c r="C45" s="1" t="s">
        <v>90</v>
      </c>
      <c r="D45" s="1" t="str">
        <f>+VLOOKUP(C45,ENTRADAS!B:C,2,0)</f>
        <v>ADIDAS SPEZIAL VINOTINTO</v>
      </c>
      <c r="E45" s="3">
        <f>+VLOOKUP(C45,ENTRADAS!B:H,7,0)</f>
        <v>105000</v>
      </c>
    </row>
    <row r="46" spans="1:5" x14ac:dyDescent="0.3">
      <c r="A46" s="2">
        <v>46158</v>
      </c>
      <c r="B46" s="1">
        <v>1</v>
      </c>
      <c r="C46" s="1" t="s">
        <v>94</v>
      </c>
      <c r="D46" s="1" t="str">
        <f>+VLOOKUP(C46,ENTRADAS!B:C,2,0)</f>
        <v>ADIDAS TERREX VERDE NARANJA</v>
      </c>
      <c r="E46" s="3">
        <f>+VLOOKUP(C46,ENTRADAS!B:H,7,0)</f>
        <v>110000</v>
      </c>
    </row>
    <row r="47" spans="1:5" x14ac:dyDescent="0.3">
      <c r="A47" s="2">
        <v>46158</v>
      </c>
      <c r="B47" s="1">
        <v>1</v>
      </c>
      <c r="C47" s="1" t="s">
        <v>87</v>
      </c>
      <c r="D47" s="1" t="str">
        <f>+VLOOKUP(C47,ENTRADAS!B:C,2,0)</f>
        <v>ADIDAS SAMBA CLASICA NEGRO</v>
      </c>
      <c r="E47" s="3">
        <f>+VLOOKUP(C47,ENTRADAS!B:H,7,0)</f>
        <v>90000</v>
      </c>
    </row>
    <row r="48" spans="1:5" x14ac:dyDescent="0.3">
      <c r="A48" s="2">
        <v>46158</v>
      </c>
      <c r="B48" s="1">
        <v>1</v>
      </c>
      <c r="C48" s="1" t="s">
        <v>94</v>
      </c>
      <c r="D48" s="1" t="str">
        <f>+VLOOKUP(C48,ENTRADAS!B:C,2,0)</f>
        <v>ADIDAS TERREX VERDE NARANJA</v>
      </c>
      <c r="E48" s="3">
        <f>+VLOOKUP(C48,ENTRADAS!B:H,7,0)</f>
        <v>110000</v>
      </c>
    </row>
    <row r="49" spans="1:5" x14ac:dyDescent="0.3">
      <c r="A49" s="2">
        <v>46158</v>
      </c>
      <c r="B49" s="1">
        <v>1</v>
      </c>
      <c r="C49" s="1" t="s">
        <v>129</v>
      </c>
      <c r="D49" s="1" t="str">
        <f>+VLOOKUP(C49,ENTRADAS!B:C,2,0)</f>
        <v>NIKE AF1 HIGTH BLANCA</v>
      </c>
      <c r="E49" s="3">
        <v>100000</v>
      </c>
    </row>
    <row r="50" spans="1:5" x14ac:dyDescent="0.3">
      <c r="A50" s="2">
        <v>46158</v>
      </c>
      <c r="B50" s="1">
        <v>1</v>
      </c>
      <c r="C50" s="1" t="s">
        <v>90</v>
      </c>
      <c r="D50" s="1" t="str">
        <f>+VLOOKUP(C50,ENTRADAS!B:C,2,0)</f>
        <v>ADIDAS SPEZIAL VINOTINTO</v>
      </c>
      <c r="E50" s="3">
        <f>+VLOOKUP(C50,ENTRADAS!B:H,7,0)</f>
        <v>105000</v>
      </c>
    </row>
    <row r="51" spans="1:5" x14ac:dyDescent="0.3">
      <c r="A51" s="2">
        <v>46159</v>
      </c>
      <c r="B51" s="1">
        <v>1</v>
      </c>
      <c r="C51" s="1" t="s">
        <v>120</v>
      </c>
      <c r="D51" s="1" t="str">
        <f>+VLOOKUP(C51,ENTRADAS!B:C,2,0)</f>
        <v>NEW BALANCE 9060 FULL NEGRO</v>
      </c>
      <c r="E51" s="3">
        <f>+VLOOKUP(C51,ENTRADAS!B:H,7,0)</f>
        <v>105000</v>
      </c>
    </row>
    <row r="52" spans="1:5" x14ac:dyDescent="0.3">
      <c r="A52" s="2">
        <v>46159</v>
      </c>
      <c r="B52" s="1">
        <v>1</v>
      </c>
      <c r="C52" s="1" t="s">
        <v>116</v>
      </c>
      <c r="D52" s="1" t="str">
        <f>+VLOOKUP(C52,ENTRADAS!B:C,2,0)</f>
        <v>NEW BALANCE 530 BLANCO PLATEADO</v>
      </c>
      <c r="E52" s="3">
        <f>+VLOOKUP(C52,ENTRADAS!B:H,7,0)</f>
        <v>100000</v>
      </c>
    </row>
    <row r="53" spans="1:5" x14ac:dyDescent="0.3">
      <c r="A53" s="2">
        <v>46159</v>
      </c>
      <c r="B53" s="1">
        <v>1</v>
      </c>
      <c r="C53" s="1" t="s">
        <v>113</v>
      </c>
      <c r="D53" s="1" t="str">
        <f>+VLOOKUP(C53,ENTRADAS!B:C,2,0)</f>
        <v>NEW BALANCE 1000 VERDE</v>
      </c>
      <c r="E53" s="3">
        <f>+VLOOKUP(C53,ENTRADAS!B:H,7,0)</f>
        <v>100000</v>
      </c>
    </row>
    <row r="54" spans="1:5" x14ac:dyDescent="0.3">
      <c r="A54" s="2">
        <v>46159</v>
      </c>
      <c r="B54" s="1">
        <v>1</v>
      </c>
      <c r="C54" s="1" t="s">
        <v>89</v>
      </c>
      <c r="D54" s="1" t="str">
        <f>+VLOOKUP(C54,ENTRADAS!B:C,2,0)</f>
        <v>ADIDAS SPEZIAL VERDE ROSADO</v>
      </c>
      <c r="E54" s="3">
        <f>+VLOOKUP(C54,ENTRADAS!B:H,7,0)</f>
        <v>100000</v>
      </c>
    </row>
    <row r="55" spans="1:5" x14ac:dyDescent="0.3">
      <c r="A55" s="2">
        <v>46160</v>
      </c>
      <c r="B55" s="1">
        <v>1</v>
      </c>
      <c r="C55" s="1" t="s">
        <v>116</v>
      </c>
      <c r="D55" s="1" t="str">
        <f>+VLOOKUP(C55,ENTRADAS!B:C,2,0)</f>
        <v>NEW BALANCE 530 BLANCO PLATEADO</v>
      </c>
      <c r="E55" s="3">
        <f>+VLOOKUP(C55,ENTRADAS!B:H,7,0)</f>
        <v>100000</v>
      </c>
    </row>
    <row r="56" spans="1:5" x14ac:dyDescent="0.3">
      <c r="A56" s="2">
        <v>46160</v>
      </c>
      <c r="B56" s="1">
        <v>1</v>
      </c>
      <c r="C56" s="1" t="s">
        <v>130</v>
      </c>
      <c r="D56" s="1" t="str">
        <f>+VLOOKUP(C56,ENTRADAS!B:C,2,0)</f>
        <v>NIKE AF1 LOW BLANCO</v>
      </c>
      <c r="E56" s="3">
        <v>100000</v>
      </c>
    </row>
    <row r="57" spans="1:5" x14ac:dyDescent="0.3">
      <c r="A57" s="2">
        <v>46160</v>
      </c>
      <c r="B57" s="1">
        <v>1</v>
      </c>
      <c r="C57" s="1" t="s">
        <v>86</v>
      </c>
      <c r="D57" s="1" t="str">
        <f>+VLOOKUP(C57,ENTRADAS!B:C,2,0)</f>
        <v>ADIDAS SAMBA BLANCA CLASICA</v>
      </c>
      <c r="E57" s="3">
        <f>+VLOOKUP(C57,ENTRADAS!B:H,7,0)</f>
        <v>90000</v>
      </c>
    </row>
    <row r="58" spans="1:5" x14ac:dyDescent="0.3">
      <c r="A58" s="2">
        <v>46160</v>
      </c>
      <c r="B58" s="1">
        <v>1</v>
      </c>
      <c r="C58" s="1" t="s">
        <v>83</v>
      </c>
      <c r="D58" s="1" t="str">
        <f>+VLOOKUP(C58,ENTRADAS!B:C,2,0)</f>
        <v>ADIDAS LED AZUL NEGRO</v>
      </c>
      <c r="E58" s="3">
        <f>+VLOOKUP(C58,ENTRADAS!B:H,7,0)</f>
        <v>105000</v>
      </c>
    </row>
    <row r="59" spans="1:5" x14ac:dyDescent="0.3">
      <c r="A59" s="2">
        <v>46160</v>
      </c>
      <c r="B59" s="1">
        <v>1</v>
      </c>
      <c r="C59" s="1" t="s">
        <v>111</v>
      </c>
      <c r="D59" s="1" t="str">
        <f>+VLOOKUP(C59,ENTRADAS!B:C,2,0)</f>
        <v>LOUIS VUITTON G5 NEGRA</v>
      </c>
      <c r="E59" s="3">
        <f>+VLOOKUP(C59,ENTRADAS!B:H,7,0)</f>
        <v>200000</v>
      </c>
    </row>
    <row r="60" spans="1:5" x14ac:dyDescent="0.3">
      <c r="A60" s="2">
        <v>46161</v>
      </c>
      <c r="B60" s="1">
        <v>1</v>
      </c>
      <c r="C60" s="1" t="s">
        <v>84</v>
      </c>
      <c r="D60" s="1" t="str">
        <f>+VLOOKUP(C60,ENTRADAS!B:C,2,0)</f>
        <v>ADIDAS NAS TASE BLANCO AZUL</v>
      </c>
      <c r="E60" s="3">
        <f>+VLOOKUP(C60,ENTRADAS!B:H,7,0)</f>
        <v>100000</v>
      </c>
    </row>
    <row r="61" spans="1:5" x14ac:dyDescent="0.3">
      <c r="A61" s="2">
        <v>46162</v>
      </c>
      <c r="B61" s="1">
        <v>1</v>
      </c>
      <c r="C61" s="1" t="s">
        <v>89</v>
      </c>
      <c r="D61" s="1" t="str">
        <f>+VLOOKUP(C61,ENTRADAS!B:C,2,0)</f>
        <v>ADIDAS SPEZIAL VERDE ROSADO</v>
      </c>
      <c r="E61" s="3">
        <f>+VLOOKUP(C61,ENTRADAS!B:H,7,0)</f>
        <v>100000</v>
      </c>
    </row>
    <row r="62" spans="1:5" x14ac:dyDescent="0.3">
      <c r="A62" s="2">
        <v>46162</v>
      </c>
      <c r="B62" s="1">
        <v>1</v>
      </c>
      <c r="C62" s="1" t="s">
        <v>101</v>
      </c>
      <c r="D62" s="1" t="str">
        <f>+VLOOKUP(C62,ENTRADAS!B:C,2,0)</f>
        <v>FILA RAY BEIGE MORADO</v>
      </c>
      <c r="E62" s="3">
        <f>+VLOOKUP(C62,ENTRADAS!B:H,7,0)</f>
        <v>105000</v>
      </c>
    </row>
    <row r="63" spans="1:5" x14ac:dyDescent="0.3">
      <c r="A63" s="2">
        <v>46163</v>
      </c>
      <c r="B63" s="1">
        <v>1</v>
      </c>
      <c r="C63" s="1" t="s">
        <v>110</v>
      </c>
      <c r="D63" s="1" t="str">
        <f>+VLOOKUP(C63,ENTRADAS!B:C,2,0)</f>
        <v>LOUIS VUITTON G5 GRIS</v>
      </c>
      <c r="E63" s="3">
        <f>+VLOOKUP(C63,ENTRADAS!B:H,7,0)</f>
        <v>200000</v>
      </c>
    </row>
    <row r="64" spans="1:5" x14ac:dyDescent="0.3">
      <c r="A64" s="2">
        <v>46164</v>
      </c>
      <c r="B64" s="1">
        <v>1</v>
      </c>
      <c r="C64" s="1" t="s">
        <v>140</v>
      </c>
      <c r="D64" s="1" t="str">
        <f>+VLOOKUP(C64,ENTRADAS!B:C,2,0)</f>
        <v>NIKE SB VERDE OLIVA</v>
      </c>
      <c r="E64" s="3">
        <f>+VLOOKUP(C64,ENTRADAS!B:H,7,0)</f>
        <v>100000</v>
      </c>
    </row>
    <row r="65" spans="1:5" x14ac:dyDescent="0.3">
      <c r="A65" s="2">
        <v>46165</v>
      </c>
      <c r="B65" s="1">
        <v>1</v>
      </c>
      <c r="C65" s="1" t="s">
        <v>113</v>
      </c>
      <c r="D65" s="1" t="str">
        <f>+VLOOKUP(C65,ENTRADAS!B:C,2,0)</f>
        <v>NEW BALANCE 1000 VERDE</v>
      </c>
      <c r="E65" s="3">
        <f>+VLOOKUP(C65,ENTRADAS!B:H,7,0)</f>
        <v>100000</v>
      </c>
    </row>
    <row r="66" spans="1:5" x14ac:dyDescent="0.3">
      <c r="A66" s="2">
        <v>46165</v>
      </c>
      <c r="B66" s="1">
        <v>1</v>
      </c>
      <c r="C66" s="1" t="s">
        <v>115</v>
      </c>
      <c r="D66" s="1" t="str">
        <f>+VLOOKUP(C66,ENTRADAS!B:C,2,0)</f>
        <v>NEW BALANCE 530 BLANCO AZUL</v>
      </c>
      <c r="E66" s="3">
        <f>+VLOOKUP(C66,ENTRADAS!B:H,7,0)</f>
        <v>100000</v>
      </c>
    </row>
    <row r="67" spans="1:5" x14ac:dyDescent="0.3">
      <c r="A67" s="2">
        <v>46165</v>
      </c>
      <c r="B67" s="1">
        <v>1</v>
      </c>
      <c r="C67" s="1" t="s">
        <v>148</v>
      </c>
      <c r="D67" s="1" t="str">
        <f>+VLOOKUP(C67,ENTRADAS!B:C,2,0)</f>
        <v>SKECHERS ONE BLANCO</v>
      </c>
      <c r="E67" s="3">
        <v>100000</v>
      </c>
    </row>
    <row r="68" spans="1:5" x14ac:dyDescent="0.3">
      <c r="A68" s="2">
        <v>46165</v>
      </c>
      <c r="B68" s="1">
        <v>1</v>
      </c>
      <c r="C68" s="1" t="s">
        <v>116</v>
      </c>
      <c r="D68" s="1" t="str">
        <f>+VLOOKUP(C68,ENTRADAS!B:C,2,0)</f>
        <v>NEW BALANCE 530 BLANCO PLATEADO</v>
      </c>
      <c r="E68" s="3">
        <f>+VLOOKUP(C68,ENTRADAS!B:H,7,0)</f>
        <v>100000</v>
      </c>
    </row>
    <row r="69" spans="1:5" x14ac:dyDescent="0.3">
      <c r="A69" s="2">
        <v>46165</v>
      </c>
      <c r="B69" s="1">
        <v>1</v>
      </c>
      <c r="C69" s="1" t="s">
        <v>130</v>
      </c>
      <c r="D69" s="1" t="str">
        <f>+VLOOKUP(C69,ENTRADAS!B:C,2,0)</f>
        <v>NIKE AF1 LOW BLANCO</v>
      </c>
      <c r="E69" s="3">
        <f>+VLOOKUP(C69,ENTRADAS!B:H,7,0)</f>
        <v>90000</v>
      </c>
    </row>
    <row r="70" spans="1:5" x14ac:dyDescent="0.3">
      <c r="A70" s="2">
        <v>46165</v>
      </c>
      <c r="B70" s="1">
        <v>1</v>
      </c>
      <c r="C70" s="1" t="s">
        <v>113</v>
      </c>
      <c r="D70" s="1" t="str">
        <f>+VLOOKUP(C70,ENTRADAS!B:C,2,0)</f>
        <v>NEW BALANCE 1000 VERDE</v>
      </c>
      <c r="E70" s="3">
        <f>+VLOOKUP(C70,ENTRADAS!B:H,7,0)</f>
        <v>100000</v>
      </c>
    </row>
    <row r="71" spans="1:5" x14ac:dyDescent="0.3">
      <c r="A71" s="2">
        <v>46165</v>
      </c>
      <c r="B71" s="1">
        <v>1</v>
      </c>
      <c r="C71" s="1" t="s">
        <v>115</v>
      </c>
      <c r="D71" s="1" t="str">
        <f>+VLOOKUP(C71,ENTRADAS!B:C,2,0)</f>
        <v>NEW BALANCE 530 BLANCO AZUL</v>
      </c>
      <c r="E71" s="3">
        <f>+VLOOKUP(C71,ENTRADAS!B:H,7,0)</f>
        <v>100000</v>
      </c>
    </row>
    <row r="72" spans="1:5" x14ac:dyDescent="0.3">
      <c r="A72" s="2">
        <v>46165</v>
      </c>
      <c r="B72" s="1">
        <v>1</v>
      </c>
      <c r="C72" s="1" t="s">
        <v>136</v>
      </c>
      <c r="D72" s="1" t="str">
        <f>+VLOOKUP(C72,ENTRADAS!B:C,2,0)</f>
        <v>NIKE CORTEZ VINOTINTO</v>
      </c>
      <c r="E72" s="3">
        <f>+VLOOKUP(C72,ENTRADAS!B:H,7,0)</f>
        <v>100000</v>
      </c>
    </row>
    <row r="73" spans="1:5" x14ac:dyDescent="0.3">
      <c r="A73" s="2">
        <v>46165</v>
      </c>
      <c r="B73" s="1">
        <v>1</v>
      </c>
      <c r="C73" s="1" t="s">
        <v>85</v>
      </c>
      <c r="D73" s="1" t="str">
        <f>+VLOOKUP(C73,ENTRADAS!B:C,2,0)</f>
        <v xml:space="preserve">ADIDAS PUREBOOST NEGRO BLANCO </v>
      </c>
      <c r="E73" s="3">
        <f>+VLOOKUP(C73,ENTRADAS!B:H,7,0)</f>
        <v>105000</v>
      </c>
    </row>
    <row r="74" spans="1:5" x14ac:dyDescent="0.3">
      <c r="A74" s="2">
        <v>46165</v>
      </c>
      <c r="B74" s="1">
        <v>1</v>
      </c>
      <c r="C74" s="1" t="s">
        <v>86</v>
      </c>
      <c r="D74" s="1" t="str">
        <f>+VLOOKUP(C74,ENTRADAS!B:C,2,0)</f>
        <v>ADIDAS SAMBA BLANCA CLASICA</v>
      </c>
      <c r="E74" s="3">
        <f>+VLOOKUP(C74,ENTRADAS!B:H,7,0)</f>
        <v>90000</v>
      </c>
    </row>
    <row r="75" spans="1:5" x14ac:dyDescent="0.3">
      <c r="A75" s="2">
        <v>46165</v>
      </c>
      <c r="B75" s="1">
        <v>1</v>
      </c>
      <c r="C75" s="1" t="s">
        <v>90</v>
      </c>
      <c r="D75" s="1" t="str">
        <f>+VLOOKUP(C75,ENTRADAS!B:C,2,0)</f>
        <v>ADIDAS SPEZIAL VINOTINTO</v>
      </c>
      <c r="E75" s="3">
        <f>+VLOOKUP(C75,ENTRADAS!B:H,7,0)</f>
        <v>105000</v>
      </c>
    </row>
    <row r="76" spans="1:5" x14ac:dyDescent="0.3">
      <c r="A76" s="2">
        <v>46165</v>
      </c>
      <c r="B76" s="1">
        <v>1</v>
      </c>
      <c r="C76" s="1" t="s">
        <v>94</v>
      </c>
      <c r="D76" s="1" t="str">
        <f>+VLOOKUP(C76,ENTRADAS!B:C,2,0)</f>
        <v>ADIDAS TERREX VERDE NARANJA</v>
      </c>
      <c r="E76" s="3">
        <f>+VLOOKUP(C76,ENTRADAS!B:H,7,0)</f>
        <v>110000</v>
      </c>
    </row>
    <row r="77" spans="1:5" x14ac:dyDescent="0.3">
      <c r="A77" s="2">
        <v>46165</v>
      </c>
      <c r="B77" s="1">
        <v>1</v>
      </c>
      <c r="C77" s="1" t="s">
        <v>89</v>
      </c>
      <c r="D77" s="1" t="str">
        <f>+VLOOKUP(C77,ENTRADAS!B:C,2,0)</f>
        <v>ADIDAS SPEZIAL VERDE ROSADO</v>
      </c>
      <c r="E77" s="3">
        <f>+VLOOKUP(C77,ENTRADAS!B:H,7,0)</f>
        <v>100000</v>
      </c>
    </row>
    <row r="78" spans="1:5" x14ac:dyDescent="0.3">
      <c r="A78" s="2">
        <v>46166</v>
      </c>
      <c r="B78" s="1">
        <v>1</v>
      </c>
      <c r="C78" s="1" t="s">
        <v>106</v>
      </c>
      <c r="D78" s="1" t="str">
        <f>+VLOOKUP(C78,ENTRADAS!B:C,2,0)</f>
        <v>JORDAN CADENCE BLANCO ROJO</v>
      </c>
      <c r="E78" s="3">
        <f>+VLOOKUP(C78,ENTRADAS!B:H,7,0)</f>
        <v>110000</v>
      </c>
    </row>
    <row r="79" spans="1:5" x14ac:dyDescent="0.3">
      <c r="A79" s="2">
        <v>46166</v>
      </c>
      <c r="B79" s="1">
        <v>1</v>
      </c>
      <c r="C79" s="1" t="s">
        <v>150</v>
      </c>
      <c r="D79" s="1" t="str">
        <f>+VLOOKUP(C79,ENTRADAS!B:C,2,0)</f>
        <v>ADIDAS EQT CAFÉ AZUL</v>
      </c>
      <c r="E79" s="3">
        <f>+VLOOKUP(C79,ENTRADAS!B:H,7,0)</f>
        <v>105000</v>
      </c>
    </row>
    <row r="80" spans="1:5" x14ac:dyDescent="0.3">
      <c r="A80" s="2">
        <v>46166</v>
      </c>
      <c r="B80" s="1">
        <v>1</v>
      </c>
      <c r="C80" s="1" t="s">
        <v>86</v>
      </c>
      <c r="D80" s="1" t="str">
        <f>+VLOOKUP(C80,ENTRADAS!B:C,2,0)</f>
        <v>ADIDAS SAMBA BLANCA CLASICA</v>
      </c>
      <c r="E80" s="3">
        <f>+VLOOKUP(C80,ENTRADAS!B:H,7,0)</f>
        <v>90000</v>
      </c>
    </row>
    <row r="81" spans="1:5" x14ac:dyDescent="0.3">
      <c r="A81" s="2">
        <v>46167</v>
      </c>
      <c r="B81" s="1">
        <v>1</v>
      </c>
      <c r="C81" s="1" t="s">
        <v>113</v>
      </c>
      <c r="D81" s="1" t="str">
        <f>+VLOOKUP(C81,ENTRADAS!B:C,2,0)</f>
        <v>NEW BALANCE 1000 VERDE</v>
      </c>
      <c r="E81" s="3">
        <f>+VLOOKUP(C81,ENTRADAS!B:H,7,0)</f>
        <v>100000</v>
      </c>
    </row>
    <row r="82" spans="1:5" x14ac:dyDescent="0.3">
      <c r="A82" s="2">
        <v>46167</v>
      </c>
      <c r="B82" s="1">
        <v>1</v>
      </c>
      <c r="C82" s="1" t="s">
        <v>148</v>
      </c>
      <c r="D82" s="1" t="str">
        <f>+VLOOKUP(C82,ENTRADAS!B:C,2,0)</f>
        <v>SKECHERS ONE BLANCO</v>
      </c>
      <c r="E82" s="3">
        <f>+VLOOKUP(C82,ENTRADAS!B:H,7,0)</f>
        <v>105000</v>
      </c>
    </row>
    <row r="83" spans="1:5" x14ac:dyDescent="0.3">
      <c r="A83" s="2">
        <v>46169</v>
      </c>
      <c r="B83" s="1">
        <v>1</v>
      </c>
      <c r="C83" s="1" t="s">
        <v>113</v>
      </c>
      <c r="D83" s="1" t="str">
        <f>+VLOOKUP(C83,ENTRADAS!B:C,2,0)</f>
        <v>NEW BALANCE 1000 VERDE</v>
      </c>
      <c r="E83" s="3">
        <f>+VLOOKUP(C83,ENTRADAS!B:H,7,0)</f>
        <v>100000</v>
      </c>
    </row>
    <row r="84" spans="1:5" x14ac:dyDescent="0.3">
      <c r="A84" s="2">
        <v>46170</v>
      </c>
      <c r="B84" s="1">
        <v>1</v>
      </c>
      <c r="C84" s="1" t="s">
        <v>130</v>
      </c>
      <c r="D84" s="1" t="str">
        <f>+VLOOKUP(C84,ENTRADAS!B:C,2,0)</f>
        <v>NIKE AF1 LOW BLANCO</v>
      </c>
      <c r="E84" s="3">
        <f>+VLOOKUP(C84,ENTRADAS!B:H,7,0)</f>
        <v>90000</v>
      </c>
    </row>
    <row r="85" spans="1:5" x14ac:dyDescent="0.3">
      <c r="A85" s="2">
        <v>46170</v>
      </c>
      <c r="B85" s="1">
        <v>1</v>
      </c>
      <c r="C85" s="1" t="s">
        <v>111</v>
      </c>
      <c r="D85" s="1" t="str">
        <f>+VLOOKUP(C85,ENTRADAS!B:C,2,0)</f>
        <v>LOUIS VUITTON G5 NEGRA</v>
      </c>
      <c r="E85" s="3">
        <f>+VLOOKUP(C85,ENTRADAS!B:H,7,0)</f>
        <v>200000</v>
      </c>
    </row>
    <row r="86" spans="1:5" x14ac:dyDescent="0.3">
      <c r="A86" s="2">
        <v>46170</v>
      </c>
      <c r="B86" s="1">
        <v>1</v>
      </c>
      <c r="C86" s="1" t="s">
        <v>116</v>
      </c>
      <c r="D86" s="1" t="str">
        <f>+VLOOKUP(C86,ENTRADAS!B:C,2,0)</f>
        <v>NEW BALANCE 530 BLANCO PLATEADO</v>
      </c>
      <c r="E86" s="3">
        <f>+VLOOKUP(C86,ENTRADAS!B:H,7,0)</f>
        <v>100000</v>
      </c>
    </row>
    <row r="87" spans="1:5" x14ac:dyDescent="0.3">
      <c r="A87" s="2">
        <v>46170</v>
      </c>
      <c r="B87" s="1">
        <v>1</v>
      </c>
      <c r="C87" s="1" t="s">
        <v>150</v>
      </c>
      <c r="D87" s="1" t="str">
        <f>+VLOOKUP(C87,ENTRADAS!B:C,2,0)</f>
        <v>ADIDAS EQT CAFÉ AZUL</v>
      </c>
      <c r="E87" s="3">
        <f>+VLOOKUP(C87,ENTRADAS!B:H,7,0)</f>
        <v>105000</v>
      </c>
    </row>
    <row r="88" spans="1:5" x14ac:dyDescent="0.3">
      <c r="A88" s="2">
        <v>46171</v>
      </c>
      <c r="B88" s="1">
        <v>1</v>
      </c>
      <c r="C88" s="1" t="s">
        <v>148</v>
      </c>
      <c r="D88" s="1" t="s">
        <v>63</v>
      </c>
      <c r="E88" s="8">
        <v>100000</v>
      </c>
    </row>
    <row r="89" spans="1:5" x14ac:dyDescent="0.3">
      <c r="A89" s="2">
        <v>46171</v>
      </c>
      <c r="B89" s="1">
        <v>1</v>
      </c>
      <c r="C89" s="1" t="s">
        <v>167</v>
      </c>
      <c r="D89" s="1" t="s">
        <v>173</v>
      </c>
      <c r="E89" s="8">
        <v>100000</v>
      </c>
    </row>
    <row r="90" spans="1:5" x14ac:dyDescent="0.3">
      <c r="A90" s="2">
        <v>46171</v>
      </c>
      <c r="B90" s="1">
        <v>1</v>
      </c>
      <c r="C90" s="1" t="s">
        <v>150</v>
      </c>
      <c r="D90" s="1" t="s">
        <v>152</v>
      </c>
      <c r="E90" s="8">
        <v>110000</v>
      </c>
    </row>
    <row r="91" spans="1:5" x14ac:dyDescent="0.3">
      <c r="A91" s="2">
        <v>46172</v>
      </c>
      <c r="B91" s="1">
        <v>1</v>
      </c>
      <c r="C91" s="1" t="s">
        <v>85</v>
      </c>
      <c r="D91" s="1" t="s">
        <v>18</v>
      </c>
      <c r="E91" s="8">
        <v>110000</v>
      </c>
    </row>
    <row r="92" spans="1:5" x14ac:dyDescent="0.3">
      <c r="A92" s="2">
        <v>46172</v>
      </c>
      <c r="B92" s="1">
        <v>1</v>
      </c>
      <c r="C92" s="1" t="s">
        <v>110</v>
      </c>
      <c r="D92" s="1" t="s">
        <v>79</v>
      </c>
      <c r="E92" s="8">
        <v>200000</v>
      </c>
    </row>
    <row r="93" spans="1:5" x14ac:dyDescent="0.3">
      <c r="A93" s="2">
        <v>46172</v>
      </c>
      <c r="B93" s="1">
        <v>1</v>
      </c>
      <c r="C93" s="1" t="s">
        <v>111</v>
      </c>
      <c r="D93" s="1" t="s">
        <v>80</v>
      </c>
      <c r="E93" s="8">
        <v>200000</v>
      </c>
    </row>
    <row r="94" spans="1:5" x14ac:dyDescent="0.3">
      <c r="A94" s="2">
        <v>46172</v>
      </c>
      <c r="B94" s="1">
        <v>1</v>
      </c>
      <c r="C94" s="1" t="s">
        <v>150</v>
      </c>
      <c r="D94" s="1" t="s">
        <v>152</v>
      </c>
      <c r="E94" s="8">
        <v>110000</v>
      </c>
    </row>
    <row r="95" spans="1:5" x14ac:dyDescent="0.3">
      <c r="A95" s="2">
        <v>46172</v>
      </c>
      <c r="B95" s="1">
        <v>1</v>
      </c>
      <c r="C95" s="1" t="s">
        <v>167</v>
      </c>
      <c r="D95" s="1" t="s">
        <v>173</v>
      </c>
      <c r="E95" s="8">
        <v>100000</v>
      </c>
    </row>
    <row r="96" spans="1:5" x14ac:dyDescent="0.3">
      <c r="A96" s="2">
        <v>46172</v>
      </c>
      <c r="B96" s="1">
        <v>1</v>
      </c>
      <c r="C96" s="1" t="s">
        <v>113</v>
      </c>
      <c r="D96" s="10" t="s">
        <v>21</v>
      </c>
      <c r="E96" s="8">
        <v>100000</v>
      </c>
    </row>
    <row r="97" spans="1:5" x14ac:dyDescent="0.3">
      <c r="A97" s="2">
        <v>46172</v>
      </c>
      <c r="B97" s="1">
        <v>1</v>
      </c>
      <c r="C97" s="1" t="s">
        <v>129</v>
      </c>
      <c r="D97" s="1" t="s">
        <v>52</v>
      </c>
      <c r="E97" s="8">
        <v>100000</v>
      </c>
    </row>
    <row r="98" spans="1:5" x14ac:dyDescent="0.3">
      <c r="A98" s="2">
        <v>46173</v>
      </c>
      <c r="B98" s="1">
        <v>1</v>
      </c>
      <c r="C98" s="1" t="s">
        <v>111</v>
      </c>
      <c r="D98" s="1" t="s">
        <v>80</v>
      </c>
      <c r="E98" s="8">
        <v>200000</v>
      </c>
    </row>
    <row r="99" spans="1:5" x14ac:dyDescent="0.3">
      <c r="A99" s="2">
        <v>46173</v>
      </c>
      <c r="B99" s="1">
        <v>1</v>
      </c>
      <c r="C99" s="1" t="s">
        <v>88</v>
      </c>
      <c r="D99" s="1" t="s">
        <v>23</v>
      </c>
      <c r="E99" s="8">
        <v>100000</v>
      </c>
    </row>
    <row r="100" spans="1:5" x14ac:dyDescent="0.3">
      <c r="A100" s="2">
        <v>46173</v>
      </c>
      <c r="B100" s="1">
        <v>1</v>
      </c>
      <c r="C100" s="1" t="s">
        <v>140</v>
      </c>
      <c r="D100" s="1" t="s">
        <v>48</v>
      </c>
      <c r="E100" s="8">
        <v>110000</v>
      </c>
    </row>
    <row r="101" spans="1:5" x14ac:dyDescent="0.3">
      <c r="A101" s="2">
        <v>46173</v>
      </c>
      <c r="B101" s="1">
        <v>1</v>
      </c>
      <c r="C101" s="1" t="s">
        <v>85</v>
      </c>
      <c r="D101" s="1" t="s">
        <v>18</v>
      </c>
      <c r="E101" s="8">
        <v>110000</v>
      </c>
    </row>
    <row r="102" spans="1:5" x14ac:dyDescent="0.3">
      <c r="A102" s="2">
        <v>46174</v>
      </c>
      <c r="B102" s="1">
        <v>1</v>
      </c>
      <c r="C102" s="1" t="s">
        <v>86</v>
      </c>
      <c r="D102" s="1" t="s">
        <v>82</v>
      </c>
      <c r="E102" s="8">
        <v>90000</v>
      </c>
    </row>
    <row r="103" spans="1:5" x14ac:dyDescent="0.3">
      <c r="A103" s="2">
        <v>46174</v>
      </c>
      <c r="B103" s="1">
        <v>1</v>
      </c>
      <c r="C103" s="1" t="s">
        <v>110</v>
      </c>
      <c r="D103" s="1" t="s">
        <v>79</v>
      </c>
      <c r="E103" s="8">
        <v>200000</v>
      </c>
    </row>
    <row r="104" spans="1:5" x14ac:dyDescent="0.3">
      <c r="A104" s="2">
        <v>46175</v>
      </c>
      <c r="B104" s="1">
        <v>1</v>
      </c>
      <c r="C104" s="1" t="s">
        <v>130</v>
      </c>
      <c r="D104" s="1" t="s">
        <v>25</v>
      </c>
      <c r="E104" s="8">
        <v>90000</v>
      </c>
    </row>
    <row r="105" spans="1:5" x14ac:dyDescent="0.3">
      <c r="A105" s="2">
        <v>46176</v>
      </c>
      <c r="B105" s="1">
        <v>1</v>
      </c>
      <c r="C105" s="1" t="s">
        <v>85</v>
      </c>
      <c r="D105" s="1" t="s">
        <v>18</v>
      </c>
      <c r="E105" s="8">
        <v>110000</v>
      </c>
    </row>
    <row r="106" spans="1:5" x14ac:dyDescent="0.3">
      <c r="A106" s="2">
        <v>46176</v>
      </c>
      <c r="B106" s="1">
        <v>1</v>
      </c>
      <c r="C106" s="1" t="s">
        <v>93</v>
      </c>
      <c r="D106" s="1" t="s">
        <v>72</v>
      </c>
      <c r="E106" s="8">
        <v>110000</v>
      </c>
    </row>
    <row r="107" spans="1:5" x14ac:dyDescent="0.3">
      <c r="A107" s="2">
        <v>46176</v>
      </c>
      <c r="B107" s="1">
        <v>1</v>
      </c>
      <c r="C107" s="1" t="s">
        <v>150</v>
      </c>
      <c r="D107" s="1" t="s">
        <v>152</v>
      </c>
      <c r="E107" s="8">
        <v>110000</v>
      </c>
    </row>
    <row r="108" spans="1:5" x14ac:dyDescent="0.3">
      <c r="A108" s="2">
        <v>46176</v>
      </c>
      <c r="B108" s="1">
        <v>1</v>
      </c>
      <c r="C108" s="1" t="s">
        <v>147</v>
      </c>
      <c r="D108" s="1" t="s">
        <v>49</v>
      </c>
      <c r="E108" s="8">
        <v>110000</v>
      </c>
    </row>
    <row r="109" spans="1:5" x14ac:dyDescent="0.3">
      <c r="A109" s="2">
        <v>46176</v>
      </c>
      <c r="B109" s="1">
        <v>1</v>
      </c>
      <c r="C109" s="1" t="s">
        <v>86</v>
      </c>
      <c r="D109" s="1" t="s">
        <v>82</v>
      </c>
      <c r="E109" s="8">
        <v>90000</v>
      </c>
    </row>
    <row r="110" spans="1:5" x14ac:dyDescent="0.3">
      <c r="A110" s="2">
        <v>46176</v>
      </c>
      <c r="B110" s="1">
        <v>1</v>
      </c>
      <c r="C110" s="1" t="s">
        <v>90</v>
      </c>
      <c r="D110" s="1" t="s">
        <v>46</v>
      </c>
      <c r="E110" s="8">
        <v>110000</v>
      </c>
    </row>
    <row r="111" spans="1:5" x14ac:dyDescent="0.3">
      <c r="A111" s="2">
        <v>46176</v>
      </c>
      <c r="B111" s="1">
        <v>1</v>
      </c>
      <c r="C111" s="1" t="s">
        <v>139</v>
      </c>
      <c r="D111" s="1" t="s">
        <v>20</v>
      </c>
      <c r="E111" s="8">
        <v>105000</v>
      </c>
    </row>
    <row r="112" spans="1:5" x14ac:dyDescent="0.3">
      <c r="A112" s="2">
        <v>46176</v>
      </c>
      <c r="B112" s="1">
        <v>1</v>
      </c>
      <c r="C112" s="1" t="s">
        <v>122</v>
      </c>
      <c r="D112" s="1" t="s">
        <v>22</v>
      </c>
      <c r="E112" s="8">
        <v>110000</v>
      </c>
    </row>
    <row r="113" spans="1:5" x14ac:dyDescent="0.3">
      <c r="A113" s="2">
        <v>46176</v>
      </c>
      <c r="B113" s="1">
        <v>2</v>
      </c>
      <c r="C113" s="1" t="s">
        <v>119</v>
      </c>
      <c r="D113" s="1" t="s">
        <v>68</v>
      </c>
      <c r="E113" s="8">
        <v>200000</v>
      </c>
    </row>
    <row r="114" spans="1:5" x14ac:dyDescent="0.3">
      <c r="A114" s="2">
        <v>46176</v>
      </c>
      <c r="B114" s="1">
        <v>1</v>
      </c>
      <c r="C114" s="1" t="s">
        <v>116</v>
      </c>
      <c r="D114" s="1" t="s">
        <v>19</v>
      </c>
      <c r="E114" s="8">
        <v>90000</v>
      </c>
    </row>
    <row r="115" spans="1:5" x14ac:dyDescent="0.3">
      <c r="A115" s="2">
        <v>46177</v>
      </c>
      <c r="B115" s="1">
        <v>1</v>
      </c>
      <c r="C115" s="1" t="s">
        <v>129</v>
      </c>
      <c r="D115" s="1" t="s">
        <v>52</v>
      </c>
      <c r="E115" s="8">
        <v>100000</v>
      </c>
    </row>
    <row r="116" spans="1:5" x14ac:dyDescent="0.3">
      <c r="A116" s="2">
        <v>46178</v>
      </c>
      <c r="B116" s="1">
        <v>1</v>
      </c>
      <c r="C116" s="1" t="s">
        <v>115</v>
      </c>
      <c r="D116" s="1" t="s">
        <v>16</v>
      </c>
      <c r="E116" s="8">
        <v>100000</v>
      </c>
    </row>
    <row r="117" spans="1:5" x14ac:dyDescent="0.3">
      <c r="A117" s="2">
        <v>46178</v>
      </c>
      <c r="B117" s="1">
        <v>1</v>
      </c>
      <c r="C117" s="1" t="s">
        <v>106</v>
      </c>
      <c r="D117" s="1" t="s">
        <v>24</v>
      </c>
      <c r="E117" s="8">
        <v>110000</v>
      </c>
    </row>
    <row r="118" spans="1:5" x14ac:dyDescent="0.3">
      <c r="A118" s="2">
        <v>46178</v>
      </c>
      <c r="B118" s="1">
        <v>1</v>
      </c>
      <c r="C118" s="1" t="s">
        <v>94</v>
      </c>
      <c r="D118" s="1" t="s">
        <v>73</v>
      </c>
      <c r="E118" s="8">
        <v>110000</v>
      </c>
    </row>
    <row r="119" spans="1:5" x14ac:dyDescent="0.3">
      <c r="A119" s="2">
        <v>46178</v>
      </c>
      <c r="B119" s="1">
        <v>1</v>
      </c>
      <c r="C119" s="1" t="s">
        <v>86</v>
      </c>
      <c r="D119" s="1" t="s">
        <v>82</v>
      </c>
      <c r="E119" s="8">
        <v>90000</v>
      </c>
    </row>
    <row r="120" spans="1:5" x14ac:dyDescent="0.3">
      <c r="A120" s="2">
        <v>46178</v>
      </c>
      <c r="B120" s="1">
        <v>1</v>
      </c>
      <c r="C120" s="1" t="s">
        <v>110</v>
      </c>
      <c r="D120" s="1" t="s">
        <v>79</v>
      </c>
      <c r="E120" s="8">
        <v>200000</v>
      </c>
    </row>
    <row r="121" spans="1:5" x14ac:dyDescent="0.3">
      <c r="A121" s="2">
        <v>46178</v>
      </c>
      <c r="B121" s="1">
        <v>1</v>
      </c>
      <c r="C121" s="1" t="s">
        <v>111</v>
      </c>
      <c r="D121" s="1" t="s">
        <v>80</v>
      </c>
      <c r="E121" s="8">
        <v>200000</v>
      </c>
    </row>
    <row r="122" spans="1:5" x14ac:dyDescent="0.3">
      <c r="A122" s="2">
        <v>46179</v>
      </c>
      <c r="B122" s="1">
        <v>1</v>
      </c>
      <c r="C122" s="1" t="s">
        <v>116</v>
      </c>
      <c r="D122" s="1" t="s">
        <v>19</v>
      </c>
      <c r="E122" s="8">
        <v>100000</v>
      </c>
    </row>
    <row r="123" spans="1:5" x14ac:dyDescent="0.3">
      <c r="A123" s="2">
        <v>46179</v>
      </c>
      <c r="B123" s="1">
        <v>1</v>
      </c>
      <c r="C123" s="1" t="s">
        <v>11</v>
      </c>
      <c r="D123" s="1" t="s">
        <v>50</v>
      </c>
      <c r="E123" s="8">
        <v>100000</v>
      </c>
    </row>
    <row r="124" spans="1:5" x14ac:dyDescent="0.3">
      <c r="A124" s="2">
        <v>46179</v>
      </c>
      <c r="B124" s="1">
        <v>1</v>
      </c>
      <c r="C124" s="1" t="s">
        <v>110</v>
      </c>
      <c r="D124" s="1" t="s">
        <v>79</v>
      </c>
      <c r="E124" s="8">
        <v>200000</v>
      </c>
    </row>
    <row r="125" spans="1:5" x14ac:dyDescent="0.3">
      <c r="A125" s="2">
        <v>46179</v>
      </c>
      <c r="B125" s="1">
        <v>1</v>
      </c>
      <c r="C125" s="1" t="s">
        <v>83</v>
      </c>
      <c r="D125" s="1" t="s">
        <v>15</v>
      </c>
      <c r="E125" s="8">
        <v>110000</v>
      </c>
    </row>
    <row r="126" spans="1:5" x14ac:dyDescent="0.3">
      <c r="A126" s="2">
        <v>46179</v>
      </c>
      <c r="B126" s="1">
        <v>1</v>
      </c>
      <c r="C126" s="1" t="s">
        <v>110</v>
      </c>
      <c r="D126" s="1" t="s">
        <v>79</v>
      </c>
      <c r="E126" s="8">
        <v>200000</v>
      </c>
    </row>
    <row r="127" spans="1:5" x14ac:dyDescent="0.3">
      <c r="A127" s="2">
        <v>46179</v>
      </c>
      <c r="B127" s="1">
        <v>1</v>
      </c>
      <c r="C127" s="1" t="s">
        <v>131</v>
      </c>
      <c r="D127" s="1" t="s">
        <v>61</v>
      </c>
      <c r="E127" s="8">
        <v>100000</v>
      </c>
    </row>
    <row r="128" spans="1:5" x14ac:dyDescent="0.3">
      <c r="A128" s="2">
        <v>46179</v>
      </c>
      <c r="B128" s="1">
        <v>1</v>
      </c>
      <c r="C128" s="1" t="s">
        <v>130</v>
      </c>
      <c r="D128" s="1" t="s">
        <v>25</v>
      </c>
      <c r="E128" s="8">
        <v>100000</v>
      </c>
    </row>
    <row r="129" spans="1:5" x14ac:dyDescent="0.3">
      <c r="A129" s="2">
        <v>46179</v>
      </c>
      <c r="B129" s="1">
        <v>1</v>
      </c>
      <c r="C129" s="1" t="s">
        <v>130</v>
      </c>
      <c r="D129" s="1" t="s">
        <v>25</v>
      </c>
      <c r="E129" s="8">
        <v>100000</v>
      </c>
    </row>
    <row r="130" spans="1:5" x14ac:dyDescent="0.3">
      <c r="A130" s="2">
        <v>46179</v>
      </c>
      <c r="B130" s="1">
        <v>1</v>
      </c>
      <c r="C130" s="1" t="s">
        <v>138</v>
      </c>
      <c r="D130" s="1" t="s">
        <v>64</v>
      </c>
      <c r="E130" s="8">
        <v>80000</v>
      </c>
    </row>
    <row r="131" spans="1:5" x14ac:dyDescent="0.3">
      <c r="A131" s="2">
        <v>46179</v>
      </c>
      <c r="B131" s="1">
        <v>1</v>
      </c>
      <c r="C131" s="1" t="s">
        <v>83</v>
      </c>
      <c r="D131" s="10" t="s">
        <v>15</v>
      </c>
      <c r="E131" s="8">
        <v>110000</v>
      </c>
    </row>
    <row r="132" spans="1:5" x14ac:dyDescent="0.3">
      <c r="A132" s="2">
        <v>46179</v>
      </c>
      <c r="B132" s="1">
        <v>1</v>
      </c>
      <c r="C132" s="1" t="s">
        <v>115</v>
      </c>
      <c r="D132" s="1" t="s">
        <v>16</v>
      </c>
      <c r="E132" s="8">
        <v>100000</v>
      </c>
    </row>
    <row r="133" spans="1:5" x14ac:dyDescent="0.3">
      <c r="A133" s="2">
        <v>46179</v>
      </c>
      <c r="B133" s="1">
        <v>1</v>
      </c>
      <c r="C133" s="1" t="s">
        <v>150</v>
      </c>
      <c r="D133" s="1" t="s">
        <v>152</v>
      </c>
      <c r="E133" s="8">
        <v>110000</v>
      </c>
    </row>
    <row r="134" spans="1:5" x14ac:dyDescent="0.3">
      <c r="A134" s="2">
        <v>46179</v>
      </c>
      <c r="B134" s="1">
        <v>1</v>
      </c>
      <c r="C134" s="1" t="s">
        <v>111</v>
      </c>
      <c r="D134" s="1" t="s">
        <v>80</v>
      </c>
      <c r="E134" s="8">
        <v>200000</v>
      </c>
    </row>
    <row r="135" spans="1:5" x14ac:dyDescent="0.3">
      <c r="A135" s="2">
        <v>46179</v>
      </c>
      <c r="B135" s="1">
        <v>1</v>
      </c>
      <c r="C135" s="1" t="s">
        <v>111</v>
      </c>
      <c r="D135" s="1" t="s">
        <v>80</v>
      </c>
      <c r="E135" s="8">
        <v>200000</v>
      </c>
    </row>
    <row r="136" spans="1:5" x14ac:dyDescent="0.3">
      <c r="A136" s="2">
        <v>46179</v>
      </c>
      <c r="B136" s="1">
        <v>1</v>
      </c>
      <c r="C136" s="1" t="s">
        <v>96</v>
      </c>
      <c r="D136" s="1" t="s">
        <v>38</v>
      </c>
      <c r="E136" s="8">
        <v>100000</v>
      </c>
    </row>
    <row r="137" spans="1:5" x14ac:dyDescent="0.3">
      <c r="A137" s="2">
        <v>46180</v>
      </c>
      <c r="B137" s="1">
        <v>1</v>
      </c>
      <c r="C137" s="1" t="s">
        <v>130</v>
      </c>
      <c r="D137" s="1" t="s">
        <v>25</v>
      </c>
      <c r="E137" s="8">
        <v>90000</v>
      </c>
    </row>
    <row r="138" spans="1:5" x14ac:dyDescent="0.3">
      <c r="A138" s="2">
        <v>46180</v>
      </c>
      <c r="B138" s="1">
        <v>1</v>
      </c>
      <c r="C138" s="1" t="s">
        <v>130</v>
      </c>
      <c r="D138" s="1" t="s">
        <v>25</v>
      </c>
      <c r="E138" s="8">
        <v>90000</v>
      </c>
    </row>
    <row r="139" spans="1:5" x14ac:dyDescent="0.3">
      <c r="A139" s="2">
        <v>46180</v>
      </c>
      <c r="B139" s="1">
        <v>1</v>
      </c>
      <c r="C139" s="1" t="s">
        <v>112</v>
      </c>
      <c r="D139" s="1" t="s">
        <v>75</v>
      </c>
      <c r="E139" s="8">
        <v>100000</v>
      </c>
    </row>
    <row r="140" spans="1:5" x14ac:dyDescent="0.3">
      <c r="A140" s="2">
        <v>46180</v>
      </c>
      <c r="B140" s="1">
        <v>1</v>
      </c>
      <c r="C140" s="1" t="s">
        <v>106</v>
      </c>
      <c r="D140" s="1" t="s">
        <v>24</v>
      </c>
      <c r="E140" s="8">
        <v>110000</v>
      </c>
    </row>
    <row r="141" spans="1:5" x14ac:dyDescent="0.3">
      <c r="A141" s="2">
        <v>46180</v>
      </c>
      <c r="B141" s="1">
        <v>1</v>
      </c>
      <c r="C141" s="1" t="s">
        <v>150</v>
      </c>
      <c r="D141" s="1" t="s">
        <v>152</v>
      </c>
      <c r="E141" s="8">
        <v>110000</v>
      </c>
    </row>
    <row r="142" spans="1:5" x14ac:dyDescent="0.3">
      <c r="A142" s="2">
        <v>46180</v>
      </c>
      <c r="B142" s="1">
        <v>1</v>
      </c>
      <c r="C142" s="1" t="s">
        <v>130</v>
      </c>
      <c r="D142" s="10" t="s">
        <v>25</v>
      </c>
      <c r="E142" s="8">
        <v>90000</v>
      </c>
    </row>
    <row r="143" spans="1:5" x14ac:dyDescent="0.3">
      <c r="A143" s="2">
        <v>46182</v>
      </c>
      <c r="B143" s="1">
        <v>1</v>
      </c>
      <c r="C143" s="1" t="s">
        <v>150</v>
      </c>
      <c r="D143" s="1" t="s">
        <v>152</v>
      </c>
      <c r="E143" s="8">
        <v>110000</v>
      </c>
    </row>
    <row r="144" spans="1:5" x14ac:dyDescent="0.3">
      <c r="A144" s="2">
        <v>46182</v>
      </c>
      <c r="B144" s="1">
        <v>1</v>
      </c>
      <c r="C144" s="1" t="s">
        <v>101</v>
      </c>
      <c r="D144" s="1" t="s">
        <v>74</v>
      </c>
      <c r="E144" s="8">
        <v>110000</v>
      </c>
    </row>
    <row r="145" spans="1:5" x14ac:dyDescent="0.3">
      <c r="A145" s="2">
        <v>46182</v>
      </c>
      <c r="B145" s="1">
        <v>1</v>
      </c>
      <c r="C145" s="1" t="s">
        <v>84</v>
      </c>
      <c r="D145" s="1" t="s">
        <v>17</v>
      </c>
      <c r="E145" s="8">
        <v>100000</v>
      </c>
    </row>
    <row r="146" spans="1:5" x14ac:dyDescent="0.3">
      <c r="A146" s="2">
        <v>46182</v>
      </c>
      <c r="B146" s="1">
        <v>1</v>
      </c>
      <c r="C146" s="1" t="s">
        <v>150</v>
      </c>
      <c r="D146" s="1" t="s">
        <v>152</v>
      </c>
      <c r="E146" s="8">
        <v>110000</v>
      </c>
    </row>
    <row r="147" spans="1:5" x14ac:dyDescent="0.3">
      <c r="A147" s="2">
        <v>46182</v>
      </c>
      <c r="B147" s="1">
        <v>1</v>
      </c>
      <c r="C147" s="1" t="s">
        <v>106</v>
      </c>
      <c r="D147" s="1" t="s">
        <v>24</v>
      </c>
      <c r="E147" s="8">
        <v>110000</v>
      </c>
    </row>
    <row r="148" spans="1:5" x14ac:dyDescent="0.3">
      <c r="A148" s="2">
        <v>46183</v>
      </c>
      <c r="B148" s="1">
        <v>3</v>
      </c>
      <c r="C148" s="1" t="s">
        <v>93</v>
      </c>
      <c r="D148" s="1" t="s">
        <v>72</v>
      </c>
      <c r="E148" s="8">
        <v>330000</v>
      </c>
    </row>
    <row r="149" spans="1:5" x14ac:dyDescent="0.3">
      <c r="A149" s="2">
        <v>46183</v>
      </c>
      <c r="B149" s="1">
        <v>1</v>
      </c>
      <c r="C149" s="1" t="s">
        <v>131</v>
      </c>
      <c r="D149" s="1" t="s">
        <v>61</v>
      </c>
      <c r="E149" s="8">
        <v>100000</v>
      </c>
    </row>
    <row r="150" spans="1:5" x14ac:dyDescent="0.3">
      <c r="A150" s="2">
        <v>46183</v>
      </c>
      <c r="B150" s="1">
        <v>1</v>
      </c>
      <c r="C150" s="1" t="s">
        <v>130</v>
      </c>
      <c r="D150" s="1" t="s">
        <v>25</v>
      </c>
      <c r="E150" s="8">
        <v>90000</v>
      </c>
    </row>
    <row r="151" spans="1:5" x14ac:dyDescent="0.3">
      <c r="A151" s="2">
        <v>46183</v>
      </c>
      <c r="B151" s="1">
        <v>1</v>
      </c>
      <c r="C151" s="1" t="s">
        <v>130</v>
      </c>
      <c r="D151" s="1" t="s">
        <v>25</v>
      </c>
      <c r="E151" s="8">
        <v>90000</v>
      </c>
    </row>
    <row r="152" spans="1:5" x14ac:dyDescent="0.3">
      <c r="A152" s="2">
        <v>46183</v>
      </c>
      <c r="B152" s="1">
        <v>1</v>
      </c>
      <c r="C152" s="1" t="s">
        <v>96</v>
      </c>
      <c r="D152" s="1" t="s">
        <v>38</v>
      </c>
      <c r="E152" s="8">
        <v>100000</v>
      </c>
    </row>
    <row r="153" spans="1:5" x14ac:dyDescent="0.3">
      <c r="A153" s="2">
        <v>46184</v>
      </c>
      <c r="B153" s="1">
        <v>1</v>
      </c>
      <c r="C153" s="1" t="s">
        <v>138</v>
      </c>
      <c r="D153" s="1" t="s">
        <v>64</v>
      </c>
      <c r="E153" s="8">
        <v>80000</v>
      </c>
    </row>
    <row r="154" spans="1:5" x14ac:dyDescent="0.3">
      <c r="A154" s="2">
        <v>46185</v>
      </c>
      <c r="B154" s="1">
        <v>1</v>
      </c>
      <c r="C154" s="1" t="s">
        <v>148</v>
      </c>
      <c r="D154" s="1" t="s">
        <v>63</v>
      </c>
      <c r="E154" s="8">
        <v>100000</v>
      </c>
    </row>
    <row r="155" spans="1:5" x14ac:dyDescent="0.3">
      <c r="A155" s="2">
        <v>46186</v>
      </c>
      <c r="B155" s="1">
        <v>1</v>
      </c>
      <c r="C155" s="1" t="s">
        <v>83</v>
      </c>
      <c r="D155" s="1" t="s">
        <v>15</v>
      </c>
      <c r="E155" s="8">
        <v>110000</v>
      </c>
    </row>
    <row r="156" spans="1:5" x14ac:dyDescent="0.3">
      <c r="A156" s="2">
        <v>46186</v>
      </c>
      <c r="B156" s="1">
        <v>1</v>
      </c>
      <c r="C156" s="1" t="s">
        <v>85</v>
      </c>
      <c r="D156" s="1" t="s">
        <v>18</v>
      </c>
      <c r="E156" s="8">
        <v>110000</v>
      </c>
    </row>
    <row r="157" spans="1:5" x14ac:dyDescent="0.3">
      <c r="A157" s="2">
        <v>46186</v>
      </c>
      <c r="B157" s="1">
        <v>1</v>
      </c>
      <c r="C157" s="1" t="s">
        <v>118</v>
      </c>
      <c r="D157" s="1" t="s">
        <v>55</v>
      </c>
      <c r="E157" s="8">
        <v>100000</v>
      </c>
    </row>
    <row r="158" spans="1:5" x14ac:dyDescent="0.3">
      <c r="A158" s="2">
        <v>46186</v>
      </c>
      <c r="B158" s="1">
        <v>1</v>
      </c>
      <c r="C158" s="1" t="s">
        <v>93</v>
      </c>
      <c r="D158" s="1" t="s">
        <v>72</v>
      </c>
      <c r="E158" s="8">
        <v>110000</v>
      </c>
    </row>
    <row r="159" spans="1:5" x14ac:dyDescent="0.3">
      <c r="A159" s="2">
        <v>46186</v>
      </c>
      <c r="B159" s="1">
        <v>1</v>
      </c>
      <c r="C159" s="1" t="s">
        <v>10</v>
      </c>
      <c r="D159" s="1" t="s">
        <v>51</v>
      </c>
      <c r="E159" s="8">
        <v>110000</v>
      </c>
    </row>
    <row r="160" spans="1:5" x14ac:dyDescent="0.3">
      <c r="A160" s="2">
        <v>46186</v>
      </c>
      <c r="B160" s="1">
        <v>1</v>
      </c>
      <c r="C160" s="1" t="s">
        <v>156</v>
      </c>
      <c r="D160" s="1" t="s">
        <v>161</v>
      </c>
      <c r="E160" s="8">
        <v>110000</v>
      </c>
    </row>
    <row r="161" spans="1:5" x14ac:dyDescent="0.3">
      <c r="A161" s="2">
        <v>46186</v>
      </c>
      <c r="B161" s="1">
        <v>1</v>
      </c>
      <c r="C161" s="1" t="s">
        <v>5</v>
      </c>
      <c r="D161" s="1" t="s">
        <v>39</v>
      </c>
      <c r="E161" s="8">
        <v>105000</v>
      </c>
    </row>
    <row r="162" spans="1:5" x14ac:dyDescent="0.3">
      <c r="A162" s="2">
        <v>46186</v>
      </c>
      <c r="B162" s="1">
        <v>1</v>
      </c>
      <c r="C162" s="1" t="s">
        <v>146</v>
      </c>
      <c r="D162" s="1" t="s">
        <v>45</v>
      </c>
      <c r="E162" s="8">
        <v>105000</v>
      </c>
    </row>
    <row r="163" spans="1:5" x14ac:dyDescent="0.3">
      <c r="A163" s="2">
        <v>46186</v>
      </c>
      <c r="B163" s="1">
        <v>1</v>
      </c>
      <c r="C163" s="1" t="s">
        <v>146</v>
      </c>
      <c r="D163" s="1" t="s">
        <v>45</v>
      </c>
      <c r="E163" s="8">
        <v>105000</v>
      </c>
    </row>
    <row r="164" spans="1:5" x14ac:dyDescent="0.3">
      <c r="A164" s="2">
        <v>46186</v>
      </c>
      <c r="B164" s="1">
        <v>1</v>
      </c>
      <c r="C164" s="1" t="s">
        <v>101</v>
      </c>
      <c r="D164" s="1" t="s">
        <v>74</v>
      </c>
      <c r="E164" s="8">
        <v>110000</v>
      </c>
    </row>
    <row r="165" spans="1:5" x14ac:dyDescent="0.3">
      <c r="A165" s="2">
        <v>46186</v>
      </c>
      <c r="B165" s="1">
        <v>1</v>
      </c>
      <c r="C165" s="1" t="s">
        <v>87</v>
      </c>
      <c r="D165" s="1" t="s">
        <v>47</v>
      </c>
      <c r="E165" s="8">
        <v>90000</v>
      </c>
    </row>
    <row r="166" spans="1:5" x14ac:dyDescent="0.3">
      <c r="A166" s="2">
        <v>46186</v>
      </c>
      <c r="B166" s="1">
        <v>1</v>
      </c>
      <c r="C166" s="1" t="s">
        <v>88</v>
      </c>
      <c r="D166" s="1" t="s">
        <v>23</v>
      </c>
      <c r="E166" s="8">
        <v>100000</v>
      </c>
    </row>
    <row r="167" spans="1:5" x14ac:dyDescent="0.3">
      <c r="A167" s="2">
        <v>46186</v>
      </c>
      <c r="B167" s="1">
        <v>1</v>
      </c>
      <c r="C167" s="1" t="s">
        <v>86</v>
      </c>
      <c r="D167" s="10" t="s">
        <v>82</v>
      </c>
      <c r="E167" s="8">
        <v>90000</v>
      </c>
    </row>
    <row r="168" spans="1:5" x14ac:dyDescent="0.3">
      <c r="A168" s="2">
        <v>46186</v>
      </c>
      <c r="B168" s="1">
        <v>1</v>
      </c>
      <c r="C168" s="1" t="s">
        <v>150</v>
      </c>
      <c r="D168" s="1" t="s">
        <v>152</v>
      </c>
      <c r="E168" s="8">
        <v>110000</v>
      </c>
    </row>
    <row r="169" spans="1:5" x14ac:dyDescent="0.3">
      <c r="A169" s="2">
        <v>46186</v>
      </c>
      <c r="B169" s="1">
        <v>1</v>
      </c>
      <c r="C169" s="1" t="s">
        <v>93</v>
      </c>
      <c r="D169" s="1" t="s">
        <v>72</v>
      </c>
      <c r="E169" s="8">
        <v>110000</v>
      </c>
    </row>
    <row r="170" spans="1:5" x14ac:dyDescent="0.3">
      <c r="A170" s="2">
        <v>46186</v>
      </c>
      <c r="B170" s="1">
        <v>1</v>
      </c>
      <c r="C170" s="1" t="s">
        <v>95</v>
      </c>
      <c r="D170" s="1" t="s">
        <v>44</v>
      </c>
      <c r="E170" s="8">
        <v>100000</v>
      </c>
    </row>
    <row r="171" spans="1:5" x14ac:dyDescent="0.3">
      <c r="A171" s="2">
        <v>46187</v>
      </c>
      <c r="B171" s="1">
        <v>1</v>
      </c>
      <c r="C171" s="1" t="s">
        <v>157</v>
      </c>
      <c r="D171" s="1" t="s">
        <v>162</v>
      </c>
      <c r="E171" s="8">
        <v>115000</v>
      </c>
    </row>
    <row r="172" spans="1:5" x14ac:dyDescent="0.3">
      <c r="A172" s="2">
        <v>46187</v>
      </c>
      <c r="B172" s="1">
        <v>1</v>
      </c>
      <c r="C172" s="1" t="s">
        <v>83</v>
      </c>
      <c r="D172" s="1" t="s">
        <v>15</v>
      </c>
      <c r="E172" s="8">
        <v>110000</v>
      </c>
    </row>
    <row r="173" spans="1:5" x14ac:dyDescent="0.3">
      <c r="A173" s="2">
        <v>46187</v>
      </c>
      <c r="B173" s="1">
        <v>1</v>
      </c>
      <c r="C173" s="1" t="s">
        <v>157</v>
      </c>
      <c r="D173" s="1" t="s">
        <v>162</v>
      </c>
      <c r="E173" s="8">
        <v>115000</v>
      </c>
    </row>
    <row r="174" spans="1:5" x14ac:dyDescent="0.3">
      <c r="A174" s="2">
        <v>46187</v>
      </c>
      <c r="B174" s="1">
        <v>1</v>
      </c>
      <c r="C174" s="1" t="s">
        <v>134</v>
      </c>
      <c r="D174" s="1" t="s">
        <v>33</v>
      </c>
      <c r="E174" s="8">
        <v>90000</v>
      </c>
    </row>
    <row r="175" spans="1:5" x14ac:dyDescent="0.3">
      <c r="A175" s="2">
        <v>46187</v>
      </c>
      <c r="B175" s="1">
        <v>1</v>
      </c>
      <c r="C175" s="1" t="s">
        <v>88</v>
      </c>
      <c r="D175" s="1" t="s">
        <v>23</v>
      </c>
      <c r="E175" s="8">
        <v>100000</v>
      </c>
    </row>
    <row r="176" spans="1:5" x14ac:dyDescent="0.3">
      <c r="A176" s="2">
        <v>46187</v>
      </c>
      <c r="B176" s="1">
        <v>1</v>
      </c>
      <c r="C176" s="1" t="s">
        <v>156</v>
      </c>
      <c r="D176" s="1" t="s">
        <v>161</v>
      </c>
      <c r="E176" s="8">
        <v>115000</v>
      </c>
    </row>
    <row r="177" spans="1:5" x14ac:dyDescent="0.3">
      <c r="A177" s="2">
        <v>46188</v>
      </c>
      <c r="B177" s="1">
        <v>1</v>
      </c>
      <c r="C177" s="1" t="s">
        <v>116</v>
      </c>
      <c r="D177" s="1" t="s">
        <v>19</v>
      </c>
      <c r="E177" s="8">
        <v>100000</v>
      </c>
    </row>
    <row r="178" spans="1:5" x14ac:dyDescent="0.3">
      <c r="A178" s="2">
        <v>46188</v>
      </c>
      <c r="B178" s="1">
        <v>1</v>
      </c>
      <c r="C178" s="1" t="s">
        <v>157</v>
      </c>
      <c r="D178" s="1" t="s">
        <v>162</v>
      </c>
      <c r="E178" s="8">
        <v>115000</v>
      </c>
    </row>
    <row r="179" spans="1:5" x14ac:dyDescent="0.3">
      <c r="A179" s="2">
        <v>46188</v>
      </c>
      <c r="B179" s="1">
        <v>1</v>
      </c>
      <c r="C179" s="1" t="s">
        <v>110</v>
      </c>
      <c r="D179" s="1" t="s">
        <v>79</v>
      </c>
      <c r="E179" s="8">
        <v>200000</v>
      </c>
    </row>
    <row r="180" spans="1:5" x14ac:dyDescent="0.3">
      <c r="A180" s="2">
        <v>46188</v>
      </c>
      <c r="B180" s="1">
        <v>1</v>
      </c>
      <c r="C180" s="1" t="s">
        <v>106</v>
      </c>
      <c r="D180" s="1" t="s">
        <v>24</v>
      </c>
      <c r="E180" s="8">
        <v>110000</v>
      </c>
    </row>
    <row r="181" spans="1:5" x14ac:dyDescent="0.3">
      <c r="A181" s="2">
        <v>46188</v>
      </c>
      <c r="B181" s="1">
        <v>1</v>
      </c>
      <c r="C181" s="1" t="s">
        <v>110</v>
      </c>
      <c r="D181" s="1" t="s">
        <v>79</v>
      </c>
      <c r="E181" s="8">
        <v>200000</v>
      </c>
    </row>
    <row r="182" spans="1:5" x14ac:dyDescent="0.3">
      <c r="A182" s="2">
        <v>46188</v>
      </c>
      <c r="B182" s="1">
        <v>1</v>
      </c>
      <c r="C182" s="1" t="s">
        <v>111</v>
      </c>
      <c r="D182" s="1" t="s">
        <v>80</v>
      </c>
      <c r="E182" s="8">
        <v>200000</v>
      </c>
    </row>
    <row r="183" spans="1:5" x14ac:dyDescent="0.3">
      <c r="A183" s="2">
        <v>46188</v>
      </c>
      <c r="B183" s="1">
        <v>1</v>
      </c>
      <c r="C183" s="1" t="s">
        <v>108</v>
      </c>
      <c r="D183" s="1" t="s">
        <v>78</v>
      </c>
      <c r="E183" s="8">
        <v>80000</v>
      </c>
    </row>
    <row r="184" spans="1:5" x14ac:dyDescent="0.3">
      <c r="A184" s="2">
        <v>46188</v>
      </c>
      <c r="B184" s="1">
        <v>1</v>
      </c>
      <c r="C184" s="1" t="s">
        <v>146</v>
      </c>
      <c r="D184" s="1" t="s">
        <v>45</v>
      </c>
      <c r="E184" s="8">
        <v>105000</v>
      </c>
    </row>
    <row r="185" spans="1:5" x14ac:dyDescent="0.3">
      <c r="A185" s="2">
        <v>46188</v>
      </c>
      <c r="B185" s="1">
        <v>1</v>
      </c>
      <c r="C185" s="1" t="s">
        <v>143</v>
      </c>
      <c r="D185" s="10" t="s">
        <v>67</v>
      </c>
      <c r="E185" s="8">
        <v>100000</v>
      </c>
    </row>
    <row r="186" spans="1:5" x14ac:dyDescent="0.3">
      <c r="A186" s="2">
        <v>46189</v>
      </c>
      <c r="B186" s="1">
        <v>1</v>
      </c>
      <c r="C186" s="1" t="s">
        <v>10</v>
      </c>
      <c r="D186" s="1" t="s">
        <v>51</v>
      </c>
      <c r="E186" s="8">
        <v>110000</v>
      </c>
    </row>
    <row r="187" spans="1:5" x14ac:dyDescent="0.3">
      <c r="A187" s="2">
        <v>46189</v>
      </c>
      <c r="B187" s="1">
        <v>1</v>
      </c>
      <c r="C187" s="1" t="s">
        <v>148</v>
      </c>
      <c r="D187" s="1" t="s">
        <v>63</v>
      </c>
      <c r="E187" s="8">
        <v>100000</v>
      </c>
    </row>
    <row r="188" spans="1:5" x14ac:dyDescent="0.3">
      <c r="A188" s="2">
        <v>46189</v>
      </c>
      <c r="B188" s="1">
        <v>1</v>
      </c>
      <c r="C188" s="1" t="s">
        <v>158</v>
      </c>
      <c r="D188" s="1" t="s">
        <v>168</v>
      </c>
      <c r="E188" s="8">
        <v>115000</v>
      </c>
    </row>
    <row r="189" spans="1:5" x14ac:dyDescent="0.3">
      <c r="A189" s="2">
        <v>46189</v>
      </c>
      <c r="B189" s="1">
        <v>1</v>
      </c>
      <c r="C189" s="1" t="s">
        <v>149</v>
      </c>
      <c r="D189" s="1" t="s">
        <v>151</v>
      </c>
      <c r="E189" s="8">
        <v>110000</v>
      </c>
    </row>
    <row r="190" spans="1:5" x14ac:dyDescent="0.3">
      <c r="A190" s="2">
        <v>46190</v>
      </c>
      <c r="B190" s="1">
        <v>1</v>
      </c>
      <c r="C190" s="1" t="s">
        <v>83</v>
      </c>
      <c r="D190" s="1" t="s">
        <v>15</v>
      </c>
      <c r="E190" s="8">
        <v>100000</v>
      </c>
    </row>
    <row r="191" spans="1:5" x14ac:dyDescent="0.3">
      <c r="A191" s="2">
        <v>46190</v>
      </c>
      <c r="B191" s="1">
        <v>1</v>
      </c>
      <c r="C191" s="1" t="s">
        <v>83</v>
      </c>
      <c r="D191" s="1" t="s">
        <v>15</v>
      </c>
      <c r="E191" s="8">
        <v>100000</v>
      </c>
    </row>
    <row r="192" spans="1:5" x14ac:dyDescent="0.3">
      <c r="A192" s="2">
        <v>46190</v>
      </c>
      <c r="B192" s="1">
        <v>1</v>
      </c>
      <c r="C192" s="1" t="s">
        <v>83</v>
      </c>
      <c r="D192" s="1" t="s">
        <v>15</v>
      </c>
      <c r="E192" s="8">
        <v>100000</v>
      </c>
    </row>
    <row r="193" spans="1:5" x14ac:dyDescent="0.3">
      <c r="A193" s="2">
        <v>46190</v>
      </c>
      <c r="B193" s="1">
        <v>1</v>
      </c>
      <c r="C193" s="1" t="s">
        <v>110</v>
      </c>
      <c r="D193" s="1" t="s">
        <v>79</v>
      </c>
      <c r="E193" s="8">
        <v>200000</v>
      </c>
    </row>
    <row r="194" spans="1:5" x14ac:dyDescent="0.3">
      <c r="A194" s="2">
        <v>46190</v>
      </c>
      <c r="B194" s="1">
        <v>1</v>
      </c>
      <c r="C194" s="1" t="s">
        <v>111</v>
      </c>
      <c r="D194" s="1" t="s">
        <v>80</v>
      </c>
      <c r="E194" s="8">
        <v>200000</v>
      </c>
    </row>
    <row r="195" spans="1:5" x14ac:dyDescent="0.3">
      <c r="A195" s="2">
        <v>46190</v>
      </c>
      <c r="B195" s="1">
        <v>1</v>
      </c>
      <c r="C195" s="1" t="s">
        <v>146</v>
      </c>
      <c r="D195" s="1" t="s">
        <v>45</v>
      </c>
      <c r="E195" s="8">
        <v>100000</v>
      </c>
    </row>
    <row r="196" spans="1:5" x14ac:dyDescent="0.3">
      <c r="A196" s="2">
        <v>46191</v>
      </c>
      <c r="B196" s="1">
        <v>1</v>
      </c>
      <c r="C196" s="1" t="s">
        <v>158</v>
      </c>
      <c r="D196" s="1" t="s">
        <v>168</v>
      </c>
      <c r="E196" s="8">
        <v>110000</v>
      </c>
    </row>
    <row r="197" spans="1:5" x14ac:dyDescent="0.3">
      <c r="A197" s="2">
        <v>46191</v>
      </c>
      <c r="B197" s="1">
        <v>1</v>
      </c>
      <c r="C197" s="1" t="s">
        <v>149</v>
      </c>
      <c r="D197" s="1" t="s">
        <v>151</v>
      </c>
      <c r="E197" s="8">
        <v>110000</v>
      </c>
    </row>
    <row r="198" spans="1:5" x14ac:dyDescent="0.3">
      <c r="A198" s="2">
        <v>46191</v>
      </c>
      <c r="B198" s="1">
        <v>1</v>
      </c>
      <c r="C198" s="1" t="s">
        <v>111</v>
      </c>
      <c r="D198" s="1" t="s">
        <v>80</v>
      </c>
      <c r="E198" s="8">
        <v>200000</v>
      </c>
    </row>
    <row r="199" spans="1:5" x14ac:dyDescent="0.3">
      <c r="A199" s="2">
        <v>46191</v>
      </c>
      <c r="B199" s="1">
        <v>1</v>
      </c>
      <c r="C199" s="1" t="s">
        <v>130</v>
      </c>
      <c r="D199" s="1" t="s">
        <v>25</v>
      </c>
      <c r="E199" s="8">
        <v>100000</v>
      </c>
    </row>
    <row r="200" spans="1:5" x14ac:dyDescent="0.3">
      <c r="A200" s="2">
        <v>46191</v>
      </c>
      <c r="B200" s="1">
        <v>1</v>
      </c>
      <c r="C200" s="1" t="s">
        <v>146</v>
      </c>
      <c r="D200" s="1" t="s">
        <v>45</v>
      </c>
      <c r="E200" s="8">
        <v>110000</v>
      </c>
    </row>
    <row r="201" spans="1:5" x14ac:dyDescent="0.3">
      <c r="A201" s="2">
        <v>46192</v>
      </c>
      <c r="B201" s="1">
        <v>1</v>
      </c>
      <c r="C201" s="1" t="s">
        <v>148</v>
      </c>
      <c r="D201" s="1" t="s">
        <v>63</v>
      </c>
      <c r="E201" s="8">
        <v>100000</v>
      </c>
    </row>
    <row r="202" spans="1:5" x14ac:dyDescent="0.3">
      <c r="A202" s="2">
        <v>46192</v>
      </c>
      <c r="B202" s="1">
        <v>1</v>
      </c>
      <c r="C202" s="1" t="s">
        <v>97</v>
      </c>
      <c r="D202" s="1" t="s">
        <v>40</v>
      </c>
      <c r="E202" s="8">
        <v>120000</v>
      </c>
    </row>
    <row r="203" spans="1:5" x14ac:dyDescent="0.3">
      <c r="A203" s="2">
        <v>46192</v>
      </c>
      <c r="B203" s="1">
        <v>1</v>
      </c>
      <c r="C203" s="1" t="s">
        <v>140</v>
      </c>
      <c r="D203" s="1" t="s">
        <v>48</v>
      </c>
      <c r="E203" s="8">
        <v>110000</v>
      </c>
    </row>
    <row r="204" spans="1:5" x14ac:dyDescent="0.3">
      <c r="A204" s="2">
        <v>46192</v>
      </c>
      <c r="B204" s="1">
        <v>1</v>
      </c>
      <c r="C204" s="1" t="s">
        <v>108</v>
      </c>
      <c r="D204" s="1" t="s">
        <v>78</v>
      </c>
      <c r="E204" s="8">
        <v>110000</v>
      </c>
    </row>
    <row r="205" spans="1:5" x14ac:dyDescent="0.3">
      <c r="A205" s="2">
        <v>46192</v>
      </c>
      <c r="B205" s="1">
        <v>1</v>
      </c>
      <c r="C205" s="1" t="s">
        <v>115</v>
      </c>
      <c r="D205" s="1" t="s">
        <v>16</v>
      </c>
      <c r="E205" s="8">
        <v>100000</v>
      </c>
    </row>
    <row r="206" spans="1:5" x14ac:dyDescent="0.3">
      <c r="A206" s="2">
        <v>46192</v>
      </c>
      <c r="B206" s="1">
        <v>1</v>
      </c>
      <c r="C206" s="1" t="s">
        <v>88</v>
      </c>
      <c r="D206" s="1" t="s">
        <v>23</v>
      </c>
      <c r="E206" s="8">
        <v>100000</v>
      </c>
    </row>
    <row r="207" spans="1:5" x14ac:dyDescent="0.3">
      <c r="A207" s="2">
        <v>46193</v>
      </c>
      <c r="B207" s="1">
        <v>1</v>
      </c>
      <c r="C207" s="1" t="s">
        <v>149</v>
      </c>
      <c r="D207" s="1" t="s">
        <v>151</v>
      </c>
      <c r="E207" s="8">
        <v>110000</v>
      </c>
    </row>
    <row r="208" spans="1:5" x14ac:dyDescent="0.3">
      <c r="A208" s="2">
        <v>46194</v>
      </c>
      <c r="B208" s="1">
        <v>1</v>
      </c>
      <c r="C208" s="1" t="s">
        <v>158</v>
      </c>
      <c r="D208" s="1" t="s">
        <v>168</v>
      </c>
      <c r="E208" s="8">
        <v>115000</v>
      </c>
    </row>
    <row r="209" spans="1:5" x14ac:dyDescent="0.3">
      <c r="A209" s="2">
        <v>46194</v>
      </c>
      <c r="B209" s="1">
        <v>1</v>
      </c>
      <c r="C209" s="1" t="s">
        <v>150</v>
      </c>
      <c r="D209" s="1" t="s">
        <v>152</v>
      </c>
      <c r="E209" s="8">
        <v>110000</v>
      </c>
    </row>
    <row r="210" spans="1:5" x14ac:dyDescent="0.3">
      <c r="A210" s="2">
        <v>46194</v>
      </c>
      <c r="B210" s="1">
        <v>1</v>
      </c>
      <c r="C210" s="1" t="s">
        <v>97</v>
      </c>
      <c r="D210" s="1" t="s">
        <v>40</v>
      </c>
      <c r="E210" s="8">
        <v>110000</v>
      </c>
    </row>
    <row r="211" spans="1:5" x14ac:dyDescent="0.3">
      <c r="A211" s="2">
        <v>46194</v>
      </c>
      <c r="B211" s="1">
        <v>1</v>
      </c>
      <c r="C211" s="1" t="s">
        <v>95</v>
      </c>
      <c r="D211" s="1" t="s">
        <v>44</v>
      </c>
      <c r="E211" s="8">
        <v>100000</v>
      </c>
    </row>
    <row r="212" spans="1:5" x14ac:dyDescent="0.3">
      <c r="A212" s="2">
        <v>46194</v>
      </c>
      <c r="B212" s="1">
        <v>1</v>
      </c>
      <c r="C212" s="1" t="s">
        <v>111</v>
      </c>
      <c r="D212" s="1" t="s">
        <v>80</v>
      </c>
      <c r="E212" s="8">
        <v>200000</v>
      </c>
    </row>
    <row r="213" spans="1:5" x14ac:dyDescent="0.3">
      <c r="A213" s="2">
        <v>46195</v>
      </c>
      <c r="B213" s="1">
        <v>1</v>
      </c>
      <c r="C213" s="1" t="s">
        <v>94</v>
      </c>
      <c r="D213" s="1" t="s">
        <v>73</v>
      </c>
      <c r="E213" s="8">
        <v>110000</v>
      </c>
    </row>
    <row r="214" spans="1:5" x14ac:dyDescent="0.3">
      <c r="A214" s="2">
        <v>46195</v>
      </c>
      <c r="B214" s="1">
        <v>1</v>
      </c>
      <c r="C214" s="1" t="s">
        <v>149</v>
      </c>
      <c r="D214" s="1" t="s">
        <v>151</v>
      </c>
      <c r="E214" s="8">
        <v>110000</v>
      </c>
    </row>
    <row r="215" spans="1:5" x14ac:dyDescent="0.3">
      <c r="A215" s="2">
        <v>46196</v>
      </c>
      <c r="B215" s="1">
        <v>1</v>
      </c>
      <c r="C215" s="1" t="s">
        <v>166</v>
      </c>
      <c r="D215" s="1" t="s">
        <v>172</v>
      </c>
      <c r="E215" s="8">
        <v>120000</v>
      </c>
    </row>
    <row r="216" spans="1:5" x14ac:dyDescent="0.3">
      <c r="A216" s="2">
        <v>46196</v>
      </c>
      <c r="B216" s="1">
        <v>1</v>
      </c>
      <c r="C216" s="1" t="s">
        <v>130</v>
      </c>
      <c r="D216" s="1" t="s">
        <v>25</v>
      </c>
      <c r="E216" s="8">
        <v>100000</v>
      </c>
    </row>
    <row r="217" spans="1:5" x14ac:dyDescent="0.3">
      <c r="A217" s="2">
        <v>46196</v>
      </c>
      <c r="B217" s="1">
        <v>1</v>
      </c>
      <c r="C217" s="1" t="s">
        <v>166</v>
      </c>
      <c r="D217" s="1" t="s">
        <v>172</v>
      </c>
      <c r="E217" s="8">
        <v>120000</v>
      </c>
    </row>
    <row r="218" spans="1:5" x14ac:dyDescent="0.3">
      <c r="A218" s="2">
        <v>46197</v>
      </c>
      <c r="B218" s="1">
        <v>1</v>
      </c>
      <c r="C218" s="1" t="s">
        <v>101</v>
      </c>
      <c r="D218" s="1" t="s">
        <v>74</v>
      </c>
      <c r="E218" s="8">
        <v>110000</v>
      </c>
    </row>
    <row r="219" spans="1:5" x14ac:dyDescent="0.3">
      <c r="A219" s="2">
        <v>46197</v>
      </c>
      <c r="B219" s="1">
        <v>1</v>
      </c>
      <c r="C219" s="1" t="s">
        <v>5</v>
      </c>
      <c r="D219" s="1" t="s">
        <v>39</v>
      </c>
      <c r="E219" s="8">
        <v>110000</v>
      </c>
    </row>
    <row r="220" spans="1:5" x14ac:dyDescent="0.3">
      <c r="A220" s="2">
        <v>46197</v>
      </c>
      <c r="B220" s="1">
        <v>1</v>
      </c>
      <c r="C220" s="1" t="s">
        <v>157</v>
      </c>
      <c r="D220" s="1" t="s">
        <v>162</v>
      </c>
      <c r="E220" s="8">
        <v>115000</v>
      </c>
    </row>
    <row r="221" spans="1:5" x14ac:dyDescent="0.3">
      <c r="A221" s="2">
        <v>46197</v>
      </c>
      <c r="B221" s="1">
        <v>1</v>
      </c>
      <c r="C221" s="1" t="s">
        <v>130</v>
      </c>
      <c r="D221" s="1" t="s">
        <v>25</v>
      </c>
      <c r="E221" s="8">
        <v>100000</v>
      </c>
    </row>
    <row r="222" spans="1:5" x14ac:dyDescent="0.3">
      <c r="A222" s="2">
        <v>46197</v>
      </c>
      <c r="B222" s="1">
        <v>1</v>
      </c>
      <c r="C222" s="1" t="s">
        <v>127</v>
      </c>
      <c r="D222" s="1" t="s">
        <v>81</v>
      </c>
      <c r="E222" s="8">
        <v>100000</v>
      </c>
    </row>
    <row r="223" spans="1:5" x14ac:dyDescent="0.3">
      <c r="A223" s="2">
        <v>46198</v>
      </c>
      <c r="B223" s="1">
        <v>1</v>
      </c>
      <c r="C223" s="1" t="s">
        <v>130</v>
      </c>
      <c r="D223" s="1" t="s">
        <v>25</v>
      </c>
      <c r="E223" s="8">
        <v>100000</v>
      </c>
    </row>
    <row r="224" spans="1:5" x14ac:dyDescent="0.3">
      <c r="A224" s="2">
        <v>46198</v>
      </c>
      <c r="B224" s="1">
        <v>1</v>
      </c>
      <c r="C224" s="1" t="s">
        <v>113</v>
      </c>
      <c r="D224" s="1" t="s">
        <v>21</v>
      </c>
      <c r="E224" s="8">
        <v>100000</v>
      </c>
    </row>
    <row r="225" spans="1:5" x14ac:dyDescent="0.3">
      <c r="A225" s="2">
        <v>46199</v>
      </c>
      <c r="B225" s="1">
        <v>1</v>
      </c>
      <c r="C225" s="1" t="s">
        <v>112</v>
      </c>
      <c r="D225" s="1" t="s">
        <v>75</v>
      </c>
      <c r="E225" s="8">
        <v>105000</v>
      </c>
    </row>
    <row r="226" spans="1:5" x14ac:dyDescent="0.3">
      <c r="A226" s="2">
        <v>46199</v>
      </c>
      <c r="B226" s="1">
        <v>1</v>
      </c>
      <c r="C226" s="1" t="s">
        <v>157</v>
      </c>
      <c r="D226" s="1" t="s">
        <v>162</v>
      </c>
      <c r="E226" s="8">
        <v>115000</v>
      </c>
    </row>
    <row r="227" spans="1:5" x14ac:dyDescent="0.3">
      <c r="A227" s="2">
        <v>46199</v>
      </c>
      <c r="B227" s="1">
        <v>1</v>
      </c>
      <c r="C227" s="1" t="s">
        <v>164</v>
      </c>
      <c r="D227" s="1" t="s">
        <v>171</v>
      </c>
      <c r="E227" s="8">
        <v>110000</v>
      </c>
    </row>
    <row r="228" spans="1:5" x14ac:dyDescent="0.3">
      <c r="A228" s="2">
        <v>46200</v>
      </c>
      <c r="B228" s="1">
        <v>1</v>
      </c>
      <c r="C228" s="1" t="s">
        <v>10</v>
      </c>
      <c r="D228" s="1" t="s">
        <v>51</v>
      </c>
      <c r="E228" s="8">
        <v>105000</v>
      </c>
    </row>
    <row r="229" spans="1:5" x14ac:dyDescent="0.3">
      <c r="A229" s="2">
        <v>46200</v>
      </c>
      <c r="B229" s="1">
        <v>1</v>
      </c>
      <c r="C229" s="1" t="s">
        <v>158</v>
      </c>
      <c r="D229" s="1" t="s">
        <v>168</v>
      </c>
      <c r="E229" s="8">
        <v>115000</v>
      </c>
    </row>
    <row r="230" spans="1:5" x14ac:dyDescent="0.3">
      <c r="A230" s="2">
        <v>46200</v>
      </c>
      <c r="B230" s="1">
        <v>1</v>
      </c>
      <c r="C230" s="1" t="s">
        <v>110</v>
      </c>
      <c r="D230" s="1" t="s">
        <v>79</v>
      </c>
      <c r="E230" s="8">
        <v>200000</v>
      </c>
    </row>
    <row r="231" spans="1:5" x14ac:dyDescent="0.3">
      <c r="A231" s="2">
        <v>46200</v>
      </c>
      <c r="B231" s="1">
        <v>1</v>
      </c>
      <c r="C231" s="1" t="s">
        <v>157</v>
      </c>
      <c r="D231" s="1" t="s">
        <v>162</v>
      </c>
      <c r="E231" s="8">
        <v>115000</v>
      </c>
    </row>
    <row r="232" spans="1:5" x14ac:dyDescent="0.3">
      <c r="A232" s="2">
        <v>46200</v>
      </c>
      <c r="B232" s="1">
        <v>1</v>
      </c>
      <c r="C232" s="1" t="s">
        <v>158</v>
      </c>
      <c r="D232" s="1" t="s">
        <v>168</v>
      </c>
      <c r="E232" s="8">
        <v>115000</v>
      </c>
    </row>
    <row r="233" spans="1:5" x14ac:dyDescent="0.3">
      <c r="A233" s="2">
        <v>46200</v>
      </c>
      <c r="B233" s="1">
        <v>1</v>
      </c>
      <c r="C233" s="1" t="s">
        <v>93</v>
      </c>
      <c r="D233" s="1" t="s">
        <v>72</v>
      </c>
      <c r="E233" s="8">
        <v>110000</v>
      </c>
    </row>
    <row r="234" spans="1:5" x14ac:dyDescent="0.3">
      <c r="A234" s="2">
        <v>46200</v>
      </c>
      <c r="B234" s="1">
        <v>1</v>
      </c>
      <c r="C234" s="1" t="s">
        <v>149</v>
      </c>
      <c r="D234" s="1" t="s">
        <v>151</v>
      </c>
      <c r="E234" s="8">
        <v>105000</v>
      </c>
    </row>
    <row r="235" spans="1:5" x14ac:dyDescent="0.3">
      <c r="A235" s="2">
        <v>46200</v>
      </c>
      <c r="B235" s="1">
        <v>1</v>
      </c>
      <c r="C235" s="1" t="s">
        <v>149</v>
      </c>
      <c r="D235" s="1" t="s">
        <v>151</v>
      </c>
      <c r="E235" s="8">
        <v>110000</v>
      </c>
    </row>
    <row r="236" spans="1:5" x14ac:dyDescent="0.3">
      <c r="A236" s="2">
        <v>46201</v>
      </c>
      <c r="B236" s="1">
        <v>1</v>
      </c>
      <c r="C236" s="1" t="s">
        <v>130</v>
      </c>
      <c r="D236" s="1" t="s">
        <v>25</v>
      </c>
      <c r="E236" s="8">
        <v>100000</v>
      </c>
    </row>
    <row r="237" spans="1:5" x14ac:dyDescent="0.3">
      <c r="A237" s="2">
        <v>46201</v>
      </c>
      <c r="B237" s="1">
        <v>1</v>
      </c>
      <c r="C237" s="1" t="s">
        <v>158</v>
      </c>
      <c r="D237" s="1" t="s">
        <v>168</v>
      </c>
      <c r="E237" s="8">
        <v>115000</v>
      </c>
    </row>
    <row r="238" spans="1:5" x14ac:dyDescent="0.3">
      <c r="A238" s="2">
        <v>46201</v>
      </c>
      <c r="B238" s="1">
        <v>1</v>
      </c>
      <c r="C238" s="1" t="s">
        <v>123</v>
      </c>
      <c r="D238" s="1" t="s">
        <v>56</v>
      </c>
      <c r="E238" s="8">
        <v>120000</v>
      </c>
    </row>
    <row r="239" spans="1:5" x14ac:dyDescent="0.3">
      <c r="A239" s="2">
        <v>46201</v>
      </c>
      <c r="B239" s="1">
        <v>1</v>
      </c>
      <c r="C239" s="1" t="s">
        <v>88</v>
      </c>
      <c r="D239" s="1" t="s">
        <v>23</v>
      </c>
      <c r="E239" s="8">
        <v>100000</v>
      </c>
    </row>
    <row r="240" spans="1:5" x14ac:dyDescent="0.3">
      <c r="A240" s="2">
        <v>46202</v>
      </c>
      <c r="B240" s="1">
        <v>1</v>
      </c>
      <c r="C240" s="1" t="s">
        <v>137</v>
      </c>
      <c r="D240" s="1" t="s">
        <v>37</v>
      </c>
      <c r="E240" s="8">
        <v>90000</v>
      </c>
    </row>
    <row r="241" spans="1:5" x14ac:dyDescent="0.3">
      <c r="A241" s="2">
        <v>46202</v>
      </c>
      <c r="B241" s="1">
        <v>1</v>
      </c>
      <c r="C241" s="1" t="s">
        <v>157</v>
      </c>
      <c r="D241" s="1" t="s">
        <v>162</v>
      </c>
      <c r="E241" s="8">
        <v>115000</v>
      </c>
    </row>
    <row r="242" spans="1:5" x14ac:dyDescent="0.3">
      <c r="A242" s="2">
        <v>46202</v>
      </c>
      <c r="B242" s="1">
        <v>1</v>
      </c>
      <c r="C242" s="1" t="s">
        <v>86</v>
      </c>
      <c r="D242" s="1" t="s">
        <v>82</v>
      </c>
      <c r="E242" s="8">
        <v>90000</v>
      </c>
    </row>
    <row r="243" spans="1:5" x14ac:dyDescent="0.3">
      <c r="A243" s="2">
        <v>46202</v>
      </c>
      <c r="B243" s="1">
        <v>1</v>
      </c>
      <c r="C243" s="1" t="s">
        <v>106</v>
      </c>
      <c r="D243" s="1" t="s">
        <v>24</v>
      </c>
      <c r="E243" s="8">
        <v>110000</v>
      </c>
    </row>
    <row r="244" spans="1:5" x14ac:dyDescent="0.3">
      <c r="A244" s="2">
        <v>46203</v>
      </c>
      <c r="B244" s="1">
        <v>1</v>
      </c>
      <c r="C244" s="1" t="s">
        <v>101</v>
      </c>
      <c r="D244" s="1" t="s">
        <v>74</v>
      </c>
      <c r="E244" s="8">
        <v>110000</v>
      </c>
    </row>
    <row r="245" spans="1:5" x14ac:dyDescent="0.3">
      <c r="A245" s="2">
        <v>46203</v>
      </c>
      <c r="B245" s="1">
        <v>1</v>
      </c>
      <c r="C245" s="1" t="s">
        <v>150</v>
      </c>
      <c r="D245" s="1" t="s">
        <v>152</v>
      </c>
      <c r="E245" s="8">
        <v>110000</v>
      </c>
    </row>
    <row r="246" spans="1:5" x14ac:dyDescent="0.3">
      <c r="A246" s="2">
        <v>46203</v>
      </c>
      <c r="B246" s="1">
        <v>1</v>
      </c>
      <c r="C246" s="1" t="s">
        <v>158</v>
      </c>
      <c r="D246" s="1" t="s">
        <v>168</v>
      </c>
      <c r="E246" s="8">
        <v>115000</v>
      </c>
    </row>
    <row r="247" spans="1:5" x14ac:dyDescent="0.3">
      <c r="A247" s="2">
        <v>46203</v>
      </c>
      <c r="B247" s="1">
        <v>1</v>
      </c>
      <c r="C247" s="1" t="s">
        <v>158</v>
      </c>
      <c r="D247" s="1" t="s">
        <v>168</v>
      </c>
      <c r="E247" s="8">
        <v>115000</v>
      </c>
    </row>
  </sheetData>
  <autoFilter ref="A1:E59" xr:uid="{713836BA-AD3D-4093-AF03-C8716257F497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ENTRADAS</vt:lpstr>
      <vt:lpstr>INVENTARIO</vt:lpstr>
      <vt:lpstr>VENTAS</vt:lpstr>
      <vt:lpstr>ENTRADAS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Vargas</dc:creator>
  <cp:lastModifiedBy>Andres Vargas</cp:lastModifiedBy>
  <cp:lastPrinted>2026-05-07T22:14:11Z</cp:lastPrinted>
  <dcterms:created xsi:type="dcterms:W3CDTF">2026-05-07T21:22:39Z</dcterms:created>
  <dcterms:modified xsi:type="dcterms:W3CDTF">2026-07-02T16:57:13Z</dcterms:modified>
</cp:coreProperties>
</file>